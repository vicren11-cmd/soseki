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tren\Desktop\"/>
    </mc:Choice>
  </mc:AlternateContent>
  <xr:revisionPtr revIDLastSave="0" documentId="13_ncr:1_{A0B79340-A64C-4BBE-A4D7-137F2B6568CB}" xr6:coauthVersionLast="47" xr6:coauthVersionMax="47" xr10:uidLastSave="{00000000-0000-0000-0000-000000000000}"/>
  <bookViews>
    <workbookView xWindow="28680" yWindow="-120" windowWidth="29040" windowHeight="16440" tabRatio="742" activeTab="18" xr2:uid="{EDF15029-49C8-4C88-83C3-68F1DEB127DF}"/>
  </bookViews>
  <sheets>
    <sheet name="人生策略" sheetId="1" r:id="rId1"/>
    <sheet name="人生之山II" sheetId="32" r:id="rId2"/>
    <sheet name="2026" sheetId="42" r:id="rId3"/>
    <sheet name="知识体系" sheetId="31" r:id="rId4"/>
    <sheet name="考试表" sheetId="5" r:id="rId5"/>
    <sheet name="CPA" sheetId="6" r:id="rId6"/>
    <sheet name="法考" sheetId="7" r:id="rId7"/>
    <sheet name="财税法务实" sheetId="21" r:id="rId8"/>
    <sheet name="外语" sheetId="10" r:id="rId9"/>
    <sheet name="自媒体" sheetId="8" r:id="rId10"/>
    <sheet name="金融" sheetId="9" r:id="rId11"/>
    <sheet name="公" sheetId="17" r:id="rId12"/>
    <sheet name="理工" sheetId="11" r:id="rId13"/>
    <sheet name="科技" sheetId="35" r:id="rId14"/>
    <sheet name="AI" sheetId="12" r:id="rId15"/>
    <sheet name="健康精力" sheetId="4" r:id="rId16"/>
    <sheet name="前额叶" sheetId="40" r:id="rId17"/>
    <sheet name="家庭" sheetId="19" r:id="rId18"/>
    <sheet name="阅读影视" sheetId="13" r:id="rId19"/>
    <sheet name="卖" sheetId="43" r:id="rId20"/>
  </sheets>
  <definedNames>
    <definedName name="_xlnm._FilterDatabase" localSheetId="13" hidden="1">科技!$A$109:$C$130</definedName>
    <definedName name="_xlnm._FilterDatabase" localSheetId="16" hidden="1">前额叶!$A$3:$B$78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8" i="11" l="1"/>
  <c r="F64" i="5"/>
  <c r="F63" i="5"/>
  <c r="F62" i="5"/>
  <c r="F61" i="5"/>
  <c r="F60" i="5"/>
  <c r="F59" i="5"/>
  <c r="F58" i="5"/>
  <c r="F57" i="5"/>
  <c r="F54" i="5"/>
  <c r="E54" i="5"/>
  <c r="D54" i="5"/>
</calcChain>
</file>

<file path=xl/sharedStrings.xml><?xml version="1.0" encoding="utf-8"?>
<sst xmlns="http://schemas.openxmlformats.org/spreadsheetml/2006/main" count="4402" uniqueCount="3015">
  <si>
    <t>CPA</t>
    <phoneticPr fontId="2" type="noConversion"/>
  </si>
  <si>
    <t>法律职业资格证</t>
    <phoneticPr fontId="2" type="noConversion"/>
  </si>
  <si>
    <t>27国考</t>
    <phoneticPr fontId="2" type="noConversion"/>
  </si>
  <si>
    <t>27省考</t>
    <phoneticPr fontId="2" type="noConversion"/>
  </si>
  <si>
    <t>ACCA</t>
    <phoneticPr fontId="2" type="noConversion"/>
  </si>
  <si>
    <t>CFA</t>
    <phoneticPr fontId="2" type="noConversion"/>
  </si>
  <si>
    <t>报名</t>
    <phoneticPr fontId="2" type="noConversion"/>
  </si>
  <si>
    <t>9月底</t>
    <phoneticPr fontId="2" type="noConversion"/>
  </si>
  <si>
    <t>2026年6月16日至7月2日</t>
    <phoneticPr fontId="2" type="noConversion"/>
  </si>
  <si>
    <t>5月8日 - 7月8日
（补报名8月6日-8月16日）</t>
    <phoneticPr fontId="2" type="noConversion"/>
  </si>
  <si>
    <t>15/10-24/10/2026</t>
    <phoneticPr fontId="2" type="noConversion"/>
  </si>
  <si>
    <t>1月</t>
    <phoneticPr fontId="2" type="noConversion"/>
  </si>
  <si>
    <t>6月底-Reregister89+88；Sub140</t>
    <phoneticPr fontId="2" type="noConversion"/>
  </si>
  <si>
    <t>提前半年</t>
    <phoneticPr fontId="2" type="noConversion"/>
  </si>
  <si>
    <t>7月</t>
    <phoneticPr fontId="2" type="noConversion"/>
  </si>
  <si>
    <t>缴费</t>
    <phoneticPr fontId="2" type="noConversion"/>
  </si>
  <si>
    <t>6月15日至 6月30日
82X6</t>
    <phoneticPr fontId="2" type="noConversion"/>
  </si>
  <si>
    <t>7月4日前</t>
    <phoneticPr fontId="2" type="noConversion"/>
  </si>
  <si>
    <t>6月16日-7月2日
40X3</t>
    <phoneticPr fontId="2" type="noConversion"/>
  </si>
  <si>
    <t>5月13日 - 7月15日
（补报名8月13日-8月26日）
93X5</t>
    <phoneticPr fontId="2" type="noConversion"/>
  </si>
  <si>
    <t>准考证</t>
    <phoneticPr fontId="2" type="noConversion"/>
  </si>
  <si>
    <t>10月28日-11月03日</t>
    <phoneticPr fontId="2" type="noConversion"/>
  </si>
  <si>
    <t>考试</t>
    <phoneticPr fontId="2" type="noConversion"/>
  </si>
  <si>
    <t>3月</t>
    <phoneticPr fontId="2" type="noConversion"/>
  </si>
  <si>
    <r>
      <t xml:space="preserve">2/2-8
5/12-18
8/18-24
</t>
    </r>
    <r>
      <rPr>
        <b/>
        <sz val="11"/>
        <color theme="1"/>
        <rFont val="等线"/>
        <scheme val="minor"/>
      </rPr>
      <t>11/11-17</t>
    </r>
    <phoneticPr fontId="2" type="noConversion"/>
  </si>
  <si>
    <r>
      <t xml:space="preserve">5/19-23
</t>
    </r>
    <r>
      <rPr>
        <b/>
        <sz val="11"/>
        <color theme="1"/>
        <rFont val="等线"/>
        <scheme val="minor"/>
      </rPr>
      <t>8/25-29</t>
    </r>
    <r>
      <rPr>
        <sz val="11"/>
        <color theme="1"/>
        <rFont val="等线"/>
        <scheme val="minor"/>
      </rPr>
      <t xml:space="preserve">
11/18-22</t>
    </r>
    <phoneticPr fontId="2" type="noConversion"/>
  </si>
  <si>
    <r>
      <t xml:space="preserve">1/29-2/1
</t>
    </r>
    <r>
      <rPr>
        <b/>
        <sz val="11"/>
        <color theme="1"/>
        <rFont val="等线"/>
        <scheme val="minor"/>
      </rPr>
      <t>8/13-17</t>
    </r>
    <phoneticPr fontId="2" type="noConversion"/>
  </si>
  <si>
    <t>会计
08:30-11:30</t>
    <phoneticPr fontId="2" type="noConversion"/>
  </si>
  <si>
    <t>审计
08:30-11:00</t>
    <phoneticPr fontId="2" type="noConversion"/>
  </si>
  <si>
    <t>客观题</t>
    <phoneticPr fontId="2" type="noConversion"/>
  </si>
  <si>
    <t>主观题</t>
    <phoneticPr fontId="2" type="noConversion"/>
  </si>
  <si>
    <t>中级会计实务08:30-11:00</t>
    <phoneticPr fontId="2" type="noConversion"/>
  </si>
  <si>
    <t>税法（一）
09:00-11:30</t>
    <phoneticPr fontId="2" type="noConversion"/>
  </si>
  <si>
    <t>财务与会计
09:00-11:30</t>
    <phoneticPr fontId="2" type="noConversion"/>
  </si>
  <si>
    <t>行测</t>
    <phoneticPr fontId="2" type="noConversion"/>
  </si>
  <si>
    <t>TX</t>
    <phoneticPr fontId="2" type="noConversion"/>
  </si>
  <si>
    <t>SBR</t>
    <phoneticPr fontId="2" type="noConversion"/>
  </si>
  <si>
    <t>AFM</t>
    <phoneticPr fontId="2" type="noConversion"/>
  </si>
  <si>
    <t>SBL</t>
    <phoneticPr fontId="2" type="noConversion"/>
  </si>
  <si>
    <t>ATX</t>
    <phoneticPr fontId="2" type="noConversion"/>
  </si>
  <si>
    <t>1级</t>
    <phoneticPr fontId="2" type="noConversion"/>
  </si>
  <si>
    <t>2级</t>
    <phoneticPr fontId="2" type="noConversion"/>
  </si>
  <si>
    <t>3级</t>
  </si>
  <si>
    <t>经济基础知识</t>
    <phoneticPr fontId="2" type="noConversion"/>
  </si>
  <si>
    <t>专业知识和实务</t>
    <phoneticPr fontId="2" type="noConversion"/>
  </si>
  <si>
    <t>税法
13:00-15:00</t>
    <phoneticPr fontId="2" type="noConversion"/>
  </si>
  <si>
    <t>财管
13:00-15:30</t>
    <phoneticPr fontId="2" type="noConversion"/>
  </si>
  <si>
    <t>卷1
09:00-12:00</t>
    <phoneticPr fontId="2" type="noConversion"/>
  </si>
  <si>
    <t>09:00-13:00</t>
    <phoneticPr fontId="2" type="noConversion"/>
  </si>
  <si>
    <t>经济法
13:00-15:00</t>
    <phoneticPr fontId="2" type="noConversion"/>
  </si>
  <si>
    <t>税法（二）
13:00-15:30</t>
    <phoneticPr fontId="2" type="noConversion"/>
  </si>
  <si>
    <t>涉税服务实务
14:00-16:30</t>
    <phoneticPr fontId="2" type="noConversion"/>
  </si>
  <si>
    <t>申论</t>
    <phoneticPr fontId="2" type="noConversion"/>
  </si>
  <si>
    <t>上下两场 4H30, 180单选题</t>
    <phoneticPr fontId="2" type="noConversion"/>
  </si>
  <si>
    <r>
      <t>上下两场，4h24；88选择题。</t>
    </r>
    <r>
      <rPr>
        <sz val="11"/>
        <color theme="1"/>
        <rFont val="等线"/>
        <family val="1"/>
        <scheme val="minor"/>
      </rPr>
      <t>‌‌‌</t>
    </r>
    <phoneticPr fontId="2" type="noConversion"/>
  </si>
  <si>
    <t>上下两场，4h24；案例选择11题，论述题11道。</t>
    <phoneticPr fontId="2" type="noConversion"/>
  </si>
  <si>
    <t>经济法
17:00-19:00</t>
    <phoneticPr fontId="2" type="noConversion"/>
  </si>
  <si>
    <t>战略
17:00-19:00</t>
    <phoneticPr fontId="2" type="noConversion"/>
  </si>
  <si>
    <t>卷2
14:30-17:30</t>
    <phoneticPr fontId="2" type="noConversion"/>
  </si>
  <si>
    <t>财务管理
17:00-19:00</t>
    <phoneticPr fontId="2" type="noConversion"/>
  </si>
  <si>
    <t>涉税服务相关法律
16:30-19:00</t>
    <phoneticPr fontId="2" type="noConversion"/>
  </si>
  <si>
    <t>通过方法</t>
    <phoneticPr fontId="2" type="noConversion"/>
  </si>
  <si>
    <t>60/105</t>
    <phoneticPr fontId="2" type="noConversion"/>
  </si>
  <si>
    <t>108/180</t>
    <phoneticPr fontId="2" type="noConversion"/>
  </si>
  <si>
    <t>180/300</t>
    <phoneticPr fontId="2" type="noConversion"/>
  </si>
  <si>
    <t>60/100</t>
    <phoneticPr fontId="2" type="noConversion"/>
  </si>
  <si>
    <t>84/140</t>
    <phoneticPr fontId="2" type="noConversion"/>
  </si>
  <si>
    <t>总分中获得约70%</t>
    <phoneticPr fontId="2" type="noConversion"/>
  </si>
  <si>
    <t>成绩查询</t>
    <phoneticPr fontId="2" type="noConversion"/>
  </si>
  <si>
    <t>11月下旬</t>
    <phoneticPr fontId="2" type="noConversion"/>
  </si>
  <si>
    <t>12月中下旬</t>
    <phoneticPr fontId="2" type="noConversion"/>
  </si>
  <si>
    <t>4月</t>
    <phoneticPr fontId="2" type="noConversion"/>
  </si>
  <si>
    <t>5周后</t>
    <phoneticPr fontId="2" type="noConversion"/>
  </si>
  <si>
    <t>6周后</t>
    <phoneticPr fontId="2" type="noConversion"/>
  </si>
  <si>
    <t>8周后</t>
    <phoneticPr fontId="2" type="noConversion"/>
  </si>
  <si>
    <t>策略</t>
    <phoneticPr fontId="2" type="noConversion"/>
  </si>
  <si>
    <t>中级备考</t>
    <phoneticPr fontId="2" type="noConversion"/>
  </si>
  <si>
    <t>阶段</t>
  </si>
  <si>
    <t>时间投入</t>
  </si>
  <si>
    <t>核心任务</t>
  </si>
  <si>
    <t>具体操作</t>
  </si>
  <si>
    <t>阶段一：适应期</t>
  </si>
  <si>
    <t>20-30小时</t>
  </si>
  <si>
    <t>熟悉中级题型与侧重点</t>
  </si>
  <si>
    <t>做2-3套中级历年真题，感受出题风格。中级更侧重基础知识原文和直接应用，而CPA更灵活、综合。</t>
  </si>
  <si>
    <t>阶段二：补漏期</t>
  </si>
  <si>
    <t>20-40小时</t>
  </si>
  <si>
    <t>专项攻克中级“特有”内容</t>
  </si>
  <si>
    <t>找出中级有而CPA没有或少考的知识点，如中级《经济法》中的保险法、信托法、预算法等。这部分是你唯一需要“新学”的内容。</t>
  </si>
  <si>
    <t>阶段三：冲刺期</t>
  </si>
  <si>
    <t>10-30小时</t>
  </si>
  <si>
    <t>高强度模拟，训练答题速度</t>
  </si>
  <si>
    <t>严格按照考试时间进行全真模拟，确保能适应中级的题量和节奏。重点练习计算题和综合题的规范作答。</t>
  </si>
  <si>
    <t>税务师备考</t>
    <phoneticPr fontId="2" type="noConversion"/>
  </si>
  <si>
    <t>科目</t>
  </si>
  <si>
    <t>建议用时</t>
  </si>
  <si>
    <t>备考策略与核心任务</t>
  </si>
  <si>
    <t>《税法一》</t>
  </si>
  <si>
    <t>20-30 小时</t>
  </si>
  <si>
    <t>任务：快速浏览教材或直接做真题，重点熟悉CPA《税法》未涵盖的细微政策差异。可以利用CPA《税法》的知识迁移，节省50%以上的学习时间。</t>
  </si>
  <si>
    <t>《税法二》</t>
  </si>
  <si>
    <t>任务：与《税法一》同步进行，同样聚焦于细节差异，如特定行业的税收优惠、特殊费用的扣除标准等。部分CPA考生表示，这两科各花30小时足以应对。</t>
  </si>
  <si>
    <t>《财务与会计》</t>
  </si>
  <si>
    <t>30-40 小时</t>
  </si>
  <si>
    <t>任务：凭借CPA《会计》和《财管》的基础，这门课可以高效学习。主要任务是适应题型和题量，并用1-2周时间刷题，适应税务师的出题风格。特别提示：如果你是CPA持证人，可以申请免考此科目！</t>
  </si>
  <si>
    <t>《涉税服务实务》</t>
  </si>
  <si>
    <t>60-80 小时</t>
  </si>
  <si>
    <t>任务：这是从理论到实务的关键跨越。需要重点投入，学习CPA考试完全不涉及的纳税申报、税务代理、账务调整等内容。建议结合历年真题，重点攻克简答题和综合题。</t>
  </si>
  <si>
    <t>《涉税服务相关法律》</t>
  </si>
  <si>
    <t>70-100 小时</t>
  </si>
  <si>
    <t>任务：挑战在于CPA《经济法》不涉及的行政法、刑法、诉讼法。需要投入时间系统学习这些新内容，其庞大的记忆量是最大的挑战。有经验的考生认为这是最耗时的一科，投入150小时也不为过。</t>
  </si>
  <si>
    <t>科目名称</t>
  </si>
  <si>
    <t>简称/旧代码</t>
  </si>
  <si>
    <t>内容简介</t>
  </si>
  <si>
    <t>商业与技术</t>
  </si>
  <si>
    <t>BT (F1)</t>
  </si>
  <si>
    <t>企业运营、组织与管理的基础知识。</t>
  </si>
  <si>
    <t>电子版书看一遍</t>
    <phoneticPr fontId="2" type="noConversion"/>
  </si>
  <si>
    <t>管理会计</t>
  </si>
  <si>
    <t>MA (F2)</t>
  </si>
  <si>
    <t>成本会计、预算编制和绩效评估的基础。</t>
  </si>
  <si>
    <t>财务管理</t>
  </si>
  <si>
    <t>FM (F9)</t>
  </si>
  <si>
    <t>投资、融资和风险管理等公司财务核心决策。</t>
  </si>
  <si>
    <t>AFM (P4) 高级财务管理</t>
  </si>
  <si>
    <t>财务会计</t>
  </si>
  <si>
    <t>FA (F3)</t>
  </si>
  <si>
    <t>基础会计原理、复式记账法和基本报表编制。</t>
  </si>
  <si>
    <t>财务报告</t>
  </si>
  <si>
    <t>FR (F7)</t>
  </si>
  <si>
    <t>基于会计准则编制并解读公司财务报表。</t>
  </si>
  <si>
    <t>SBR (P2) 战略商业报告</t>
  </si>
  <si>
    <t>税务</t>
  </si>
  <si>
    <t>TX (F6)</t>
  </si>
  <si>
    <t>税法规则与税务计算。</t>
  </si>
  <si>
    <t>ATX (P6) 高级税务</t>
  </si>
  <si>
    <t>公司法与商法</t>
  </si>
  <si>
    <t>LW (F4)</t>
  </si>
  <si>
    <t>商业相关的法律法规框架。</t>
  </si>
  <si>
    <t>业绩管理</t>
  </si>
  <si>
    <t>PM (F5)</t>
  </si>
  <si>
    <t>管理会计的高级应用，包括决策分析与业绩评价。</t>
  </si>
  <si>
    <t>APM (P5) 高级业绩管理</t>
  </si>
  <si>
    <t>审计与认证业务</t>
  </si>
  <si>
    <t>AA (F8)</t>
  </si>
  <si>
    <t>审计流程、内部控制与鉴证业务。</t>
  </si>
  <si>
    <t>MSc Professional Accountancy</t>
    <phoneticPr fontId="2" type="noConversion"/>
  </si>
  <si>
    <t>MSc full programme fee (web supported)*</t>
  </si>
  <si>
    <t>2025-2026</t>
  </si>
  <si>
    <t>AFM500 Capstone Project 30 Compulsory October, April</t>
  </si>
  <si>
    <t>AFM100 Capital Markets and Global Perspectives 15 Elective January, April</t>
  </si>
  <si>
    <t>AFM090 Issues in Investment Management 15 Elective October, July</t>
  </si>
  <si>
    <t>AFM070 Global Issues in Finance and Accounting 15 Elective October, July</t>
  </si>
  <si>
    <t>AFM080 Analysing Risk for Decision Making 15 Elective January, April</t>
  </si>
  <si>
    <t>Band A countries</t>
  </si>
  <si>
    <t>CNH 36,257.49</t>
  </si>
  <si>
    <t>Band B countries</t>
  </si>
  <si>
    <t>CNH 49,087.49</t>
  </si>
  <si>
    <t>MSc indicative totals for Teaching Centres**</t>
  </si>
  <si>
    <t>Band A Teaching Centre</t>
  </si>
  <si>
    <t>CNH 24,133.98</t>
  </si>
  <si>
    <t>Band B Teaching Centre</t>
  </si>
  <si>
    <t>Module fees</t>
  </si>
  <si>
    <t>Web-supported learners:</t>
  </si>
  <si>
    <t>Band A 15 credit module</t>
  </si>
  <si>
    <t>CNH 9,062.02</t>
  </si>
  <si>
    <t>Band A 30 credit project module</t>
  </si>
  <si>
    <t>CNH 18,133.45</t>
  </si>
  <si>
    <t>Band B 15 credit module</t>
  </si>
  <si>
    <t>CNH 12,274.23</t>
  </si>
  <si>
    <t>Band B 30 credit project module</t>
  </si>
  <si>
    <t>CNH 24,539.04</t>
  </si>
  <si>
    <t>Teaching Centre supported learners:</t>
  </si>
  <si>
    <t>CNH 6,028.78</t>
  </si>
  <si>
    <t>Band A 30 credit module</t>
  </si>
  <si>
    <t>CNH 12,076.41</t>
  </si>
  <si>
    <t>CNH 8,176.54</t>
  </si>
  <si>
    <t>Band B 30 credit module</t>
  </si>
  <si>
    <t>CNH 16,353.08</t>
  </si>
  <si>
    <t>财务报表分析 (FSA)</t>
  </si>
  <si>
    <t>11-17%</t>
  </si>
  <si>
    <t>已掌握约80%-100%</t>
  </si>
  <si>
    <t>企业发行人 (Corporate Issuers)</t>
  </si>
  <si>
    <t>6-12%</t>
  </si>
  <si>
    <t>权益投资 (Equity)</t>
  </si>
  <si>
    <t>10-14%</t>
  </si>
  <si>
    <t>定量分析 (Quantitative Methods)</t>
  </si>
  <si>
    <t>经济学 (Economics)</t>
  </si>
  <si>
    <t>已掌握约50%-80%</t>
  </si>
  <si>
    <t>固定收益 (Fixed Income)</t>
  </si>
  <si>
    <t>衍生品 (Derivatives)</t>
  </si>
  <si>
    <t>5-8%</t>
  </si>
  <si>
    <t>已掌握约20%-40%</t>
  </si>
  <si>
    <t>另类投资 (Alternative Investments)</t>
  </si>
  <si>
    <t>5-10%</t>
  </si>
  <si>
    <t>投资组合管理 (Portfolio Management)</t>
  </si>
  <si>
    <t>5-12%</t>
  </si>
  <si>
    <t>需从0学起</t>
  </si>
  <si>
    <t>道德与专业准则 (Ethics)</t>
  </si>
  <si>
    <t>15-20%</t>
  </si>
  <si>
    <t>考试是学习的方法之一，很难的事，但是确是人生的捷径。不是偷懒的捷径。</t>
    <phoneticPr fontId="2" type="noConversion"/>
  </si>
  <si>
    <t>1通过为王；
2重点章节（占分高/得分稳定容易/务实强）学透；
3其他（难理解难记忆分数不高）放弃</t>
    <phoneticPr fontId="2" type="noConversion"/>
  </si>
  <si>
    <t>1通过为王；
2重点章节（性价比高-CPA主观都有）学透；
3务实性强重点学</t>
    <phoneticPr fontId="2" type="noConversion"/>
  </si>
  <si>
    <t>*中级会计师</t>
    <phoneticPr fontId="2" type="noConversion"/>
  </si>
  <si>
    <t>*税务师</t>
    <phoneticPr fontId="2" type="noConversion"/>
  </si>
  <si>
    <t>*中级经济师</t>
    <phoneticPr fontId="2" type="noConversion"/>
  </si>
  <si>
    <t>锦上添花的证书。
双证顺利拿下后，有收入后，最高效拿下。</t>
    <phoneticPr fontId="2" type="noConversion"/>
  </si>
  <si>
    <t>锦上添花的证书。
三证顺利拿下后，有收入后，最高效拿下。</t>
    <phoneticPr fontId="2" type="noConversion"/>
  </si>
  <si>
    <t>2026/11/7
2026/11/8</t>
    <phoneticPr fontId="2" type="noConversion"/>
  </si>
  <si>
    <t>重点检测</t>
    <phoneticPr fontId="2" type="noConversion"/>
  </si>
  <si>
    <t>CFA1</t>
    <phoneticPr fontId="2" type="noConversion"/>
  </si>
  <si>
    <t>生活习惯</t>
    <phoneticPr fontId="2" type="noConversion"/>
  </si>
  <si>
    <t>运动策略</t>
    <phoneticPr fontId="2" type="noConversion"/>
  </si>
  <si>
    <t>护眼</t>
    <phoneticPr fontId="2" type="noConversion"/>
  </si>
  <si>
    <t>精力维护</t>
    <phoneticPr fontId="2" type="noConversion"/>
  </si>
  <si>
    <t>饮食</t>
    <phoneticPr fontId="2" type="noConversion"/>
  </si>
  <si>
    <t>力量训练</t>
    <phoneticPr fontId="2" type="noConversion"/>
  </si>
  <si>
    <t>有氧训练</t>
    <phoneticPr fontId="2" type="noConversion"/>
  </si>
  <si>
    <t>爆发训练</t>
    <phoneticPr fontId="2" type="noConversion"/>
  </si>
  <si>
    <t>柔韧训练</t>
    <phoneticPr fontId="2" type="noConversion"/>
  </si>
  <si>
    <t>断舍离</t>
    <phoneticPr fontId="2" type="noConversion"/>
  </si>
  <si>
    <t>戒政论</t>
    <phoneticPr fontId="2" type="noConversion"/>
  </si>
  <si>
    <t>戒短视频</t>
    <phoneticPr fontId="2" type="noConversion"/>
  </si>
  <si>
    <t>戒购物</t>
    <phoneticPr fontId="2" type="noConversion"/>
  </si>
  <si>
    <t>戒屏幕</t>
    <phoneticPr fontId="2" type="noConversion"/>
  </si>
  <si>
    <t xml:space="preserve">40 15 15 </t>
    <phoneticPr fontId="2" type="noConversion"/>
  </si>
  <si>
    <t>戒微信</t>
    <phoneticPr fontId="2" type="noConversion"/>
  </si>
  <si>
    <t>干净饮食</t>
    <phoneticPr fontId="2" type="noConversion"/>
  </si>
  <si>
    <t>戒</t>
    <phoneticPr fontId="2" type="noConversion"/>
  </si>
  <si>
    <t>糖</t>
    <phoneticPr fontId="2" type="noConversion"/>
  </si>
  <si>
    <t>零食</t>
    <phoneticPr fontId="2" type="noConversion"/>
  </si>
  <si>
    <t>外卖</t>
    <phoneticPr fontId="2" type="noConversion"/>
  </si>
  <si>
    <t>烟酒</t>
    <phoneticPr fontId="2" type="noConversion"/>
  </si>
  <si>
    <t>摄入</t>
    <phoneticPr fontId="2" type="noConversion"/>
  </si>
  <si>
    <t>蛋白质</t>
    <phoneticPr fontId="2" type="noConversion"/>
  </si>
  <si>
    <t>粗粮</t>
    <phoneticPr fontId="2" type="noConversion"/>
  </si>
  <si>
    <t>绿色蔬菜</t>
    <phoneticPr fontId="2" type="noConversion"/>
  </si>
  <si>
    <t>胡萝卜</t>
    <phoneticPr fontId="2" type="noConversion"/>
  </si>
  <si>
    <t>香蕉</t>
    <phoneticPr fontId="2" type="noConversion"/>
  </si>
  <si>
    <t>睡眠-早睡早起/深度睡眠</t>
    <phoneticPr fontId="2" type="noConversion"/>
  </si>
  <si>
    <t>戒手机</t>
    <phoneticPr fontId="2" type="noConversion"/>
  </si>
  <si>
    <t>健康精力是最基础的支柱，必须长期自律维持。得大病是长期透支的结果，自律大概率从源头解决问题。小概率是命，改不了。</t>
    <phoneticPr fontId="2" type="noConversion"/>
  </si>
  <si>
    <t>健康精力</t>
    <phoneticPr fontId="2" type="noConversion"/>
  </si>
  <si>
    <t>CPA+法考</t>
    <phoneticPr fontId="2" type="noConversion"/>
  </si>
  <si>
    <t>通过考试建立起最基本的知识体系，自信心会极大提升，思考问题解决问题的能力会上台阶式增强，在职场竞争力会极大提升。</t>
    <phoneticPr fontId="2" type="noConversion"/>
  </si>
  <si>
    <t>300分（两张试卷150X2) 180及格</t>
    <phoneticPr fontId="2" type="noConversion"/>
  </si>
  <si>
    <t>14:30到17点</t>
  </si>
  <si>
    <t>9点到12点</t>
    <phoneticPr fontId="2" type="noConversion"/>
  </si>
  <si>
    <t>卷二</t>
    <phoneticPr fontId="2" type="noConversion"/>
  </si>
  <si>
    <t>卷一</t>
    <phoneticPr fontId="2" type="noConversion"/>
  </si>
  <si>
    <t>单选</t>
    <phoneticPr fontId="2" type="noConversion"/>
  </si>
  <si>
    <t>50题/2分</t>
    <phoneticPr fontId="2" type="noConversion"/>
  </si>
  <si>
    <t>多选/不定项</t>
    <phoneticPr fontId="2" type="noConversion"/>
  </si>
  <si>
    <t>50题/分</t>
    <phoneticPr fontId="2" type="noConversion"/>
  </si>
  <si>
    <t>国际经济法</t>
    <phoneticPr fontId="2" type="noConversion"/>
  </si>
  <si>
    <t>国际公法</t>
    <phoneticPr fontId="2" type="noConversion"/>
  </si>
  <si>
    <t>国际私法</t>
    <phoneticPr fontId="2" type="noConversion"/>
  </si>
  <si>
    <t>司法道德</t>
    <phoneticPr fontId="2" type="noConversion"/>
  </si>
  <si>
    <t>环保法</t>
    <phoneticPr fontId="2" type="noConversion"/>
  </si>
  <si>
    <t>法制史</t>
    <phoneticPr fontId="2" type="noConversion"/>
  </si>
  <si>
    <t>劳动法</t>
    <phoneticPr fontId="2" type="noConversion"/>
  </si>
  <si>
    <t>宪法</t>
    <phoneticPr fontId="2" type="noConversion"/>
  </si>
  <si>
    <t>经济法</t>
    <phoneticPr fontId="2" type="noConversion"/>
  </si>
  <si>
    <t>法理学</t>
    <phoneticPr fontId="2" type="noConversion"/>
  </si>
  <si>
    <t>知产</t>
    <phoneticPr fontId="2" type="noConversion"/>
  </si>
  <si>
    <t>法治思想</t>
    <phoneticPr fontId="2" type="noConversion"/>
  </si>
  <si>
    <t>商法</t>
    <phoneticPr fontId="2" type="noConversion"/>
  </si>
  <si>
    <t>行政</t>
    <phoneticPr fontId="2" type="noConversion"/>
  </si>
  <si>
    <t>民诉</t>
    <phoneticPr fontId="2" type="noConversion"/>
  </si>
  <si>
    <t>刑诉</t>
    <phoneticPr fontId="2" type="noConversion"/>
  </si>
  <si>
    <t>民法</t>
    <phoneticPr fontId="2" type="noConversion"/>
  </si>
  <si>
    <t>刑法</t>
    <phoneticPr fontId="2" type="noConversion"/>
  </si>
  <si>
    <t>客观</t>
    <phoneticPr fontId="2" type="noConversion"/>
  </si>
  <si>
    <t>主观</t>
    <phoneticPr fontId="2" type="noConversion"/>
  </si>
  <si>
    <t>180分-108及格</t>
    <phoneticPr fontId="2" type="noConversion"/>
  </si>
  <si>
    <t>商法/行政</t>
    <phoneticPr fontId="2" type="noConversion"/>
  </si>
  <si>
    <t>民商诉</t>
    <phoneticPr fontId="2" type="noConversion"/>
  </si>
  <si>
    <t>法律文书</t>
    <phoneticPr fontId="2" type="noConversion"/>
  </si>
  <si>
    <t>论述</t>
    <phoneticPr fontId="2" type="noConversion"/>
  </si>
  <si>
    <t>6选5</t>
    <phoneticPr fontId="2" type="noConversion"/>
  </si>
  <si>
    <t>案例分析</t>
    <phoneticPr fontId="2" type="noConversion"/>
  </si>
  <si>
    <t>9点到13点</t>
    <phoneticPr fontId="2" type="noConversion"/>
  </si>
  <si>
    <t>用最少时间建立整个法学体系，并且未来还能服务于CPA经济法、商业分析、财税法、自媒体输出。</t>
  </si>
  <si>
    <t>那么应该找法考的“发动机”。</t>
  </si>
  <si>
    <t>法考真正的发动机是什么？</t>
  </si>
  <si>
    <t>如果只选一个。</t>
  </si>
  <si>
    <t>答案是：</t>
  </si>
  <si>
    <t>民法</t>
  </si>
  <si>
    <t>民法在法学里的地位，有点像会计里的金融工具+长投。</t>
  </si>
  <si>
    <t>因为民法研究的是：</t>
  </si>
  <si>
    <t>人与人之间的法律关系。</t>
  </si>
  <si>
    <t>后面大量法律都建立在这个基础上。</t>
  </si>
  <si>
    <t>例如：</t>
  </si>
  <si>
    <t>合同法</t>
  </si>
  <si>
    <t>本质是民法。</t>
  </si>
  <si>
    <t>公司法</t>
  </si>
  <si>
    <t>本质是多人共同出资形成的民事关系。</t>
  </si>
  <si>
    <t>证券法</t>
  </si>
  <si>
    <t>本质是特殊交易关系。</t>
  </si>
  <si>
    <t>婚姻法</t>
  </si>
  <si>
    <t>本质是特殊民事关系。</t>
  </si>
  <si>
    <t>继承法</t>
  </si>
  <si>
    <t>本质是财产权转移。</t>
  </si>
  <si>
    <t>侵权法</t>
  </si>
  <si>
    <t>本质是损害赔偿关系。</t>
  </si>
  <si>
    <t>所以：</t>
  </si>
  <si>
    <t>民法学通以后。</t>
  </si>
  <si>
    <t>很多部门法会突然变简单。</t>
  </si>
  <si>
    <t>第一发动机：民法总则</t>
  </si>
  <si>
    <t>这里最重要。</t>
  </si>
  <si>
    <t>很多学生一开始就冲合同。</t>
  </si>
  <si>
    <t>其实错了。</t>
  </si>
  <si>
    <t>先吃透：</t>
  </si>
  <si>
    <t>法律关系</t>
  </si>
  <si>
    <t>主体</t>
  </si>
  <si>
    <t>客体</t>
  </si>
  <si>
    <t>内容</t>
  </si>
  <si>
    <t>法律事实</t>
  </si>
  <si>
    <t>事件</t>
  </si>
  <si>
    <t>行为</t>
  </si>
  <si>
    <t>民事法律行为</t>
  </si>
  <si>
    <t>这是整个民法发动机中的发动机。</t>
  </si>
  <si>
    <t>你以后会发现：</t>
  </si>
  <si>
    <t>法考很多题实际上都在问：</t>
  </si>
  <si>
    <t>这个行为有效吗？</t>
  </si>
  <si>
    <t>无效</t>
  </si>
  <si>
    <t>可撤销</t>
  </si>
  <si>
    <t>效力待定</t>
  </si>
  <si>
    <t>附条件</t>
  </si>
  <si>
    <t>附期限</t>
  </si>
  <si>
    <t>代理</t>
  </si>
  <si>
    <t>表见代理</t>
  </si>
  <si>
    <t>无权代理</t>
  </si>
  <si>
    <t>全部围绕这个转。</t>
  </si>
  <si>
    <t>第二发动机：合同</t>
  </si>
  <si>
    <t>如果说民法总则是操作系统。</t>
  </si>
  <si>
    <t>合同就是应用程序。</t>
  </si>
  <si>
    <t>法考客观题里：</t>
  </si>
  <si>
    <t>合同是超级高频。</t>
  </si>
  <si>
    <t>你需要吃透：</t>
  </si>
  <si>
    <t>合同成立</t>
  </si>
  <si>
    <t>合同生效</t>
  </si>
  <si>
    <t>合同履行</t>
  </si>
  <si>
    <t>合同解除</t>
  </si>
  <si>
    <t>违约责任</t>
  </si>
  <si>
    <t>尤其：</t>
  </si>
  <si>
    <t>成立≠生效</t>
  </si>
  <si>
    <t>很多考生一直混。</t>
  </si>
  <si>
    <t>第三发动机：物权</t>
  </si>
  <si>
    <t>很多人觉得物权难。</t>
  </si>
  <si>
    <t>其实非常值得先学。</t>
  </si>
  <si>
    <t>因为物权解决一个问题：</t>
  </si>
  <si>
    <t>东西到底是谁的？</t>
  </si>
  <si>
    <t>所有权</t>
  </si>
  <si>
    <t>担保物权</t>
  </si>
  <si>
    <t>抵押</t>
  </si>
  <si>
    <t>质押</t>
  </si>
  <si>
    <t>留置</t>
  </si>
  <si>
    <t>善意取得</t>
  </si>
  <si>
    <t>登记对抗</t>
  </si>
  <si>
    <t>登记生效</t>
  </si>
  <si>
    <t>以后公司法、破产法、执行程序都会用到。</t>
  </si>
  <si>
    <t>第四发动机：刑法总论</t>
  </si>
  <si>
    <t>很多人一开始喜欢背各种罪名。</t>
  </si>
  <si>
    <t>其实不对。</t>
  </si>
  <si>
    <t>刑法最重要：</t>
  </si>
  <si>
    <t>犯罪论体系</t>
  </si>
  <si>
    <t>你可以理解为：</t>
  </si>
  <si>
    <t>会计里的框架。</t>
  </si>
  <si>
    <t>核心：</t>
  </si>
  <si>
    <t>构成要件</t>
  </si>
  <si>
    <t>↓</t>
  </si>
  <si>
    <t>违法性</t>
  </si>
  <si>
    <t>有责性</t>
  </si>
  <si>
    <t>然后：</t>
  </si>
  <si>
    <t>故意</t>
  </si>
  <si>
    <t>过失</t>
  </si>
  <si>
    <t>未遂</t>
  </si>
  <si>
    <t>中止</t>
  </si>
  <si>
    <t>共同犯罪</t>
  </si>
  <si>
    <t>正犯</t>
  </si>
  <si>
    <t>帮助犯</t>
  </si>
  <si>
    <t>教唆犯</t>
  </si>
  <si>
    <t>这些学透以后。</t>
  </si>
  <si>
    <t>罪名只是往框架里填内容。</t>
  </si>
  <si>
    <t>第五发动机：行政法</t>
  </si>
  <si>
    <t>很多人觉得行政法很乱。</t>
  </si>
  <si>
    <t>实际上就两件事。</t>
  </si>
  <si>
    <t>行政机关有没有权？</t>
  </si>
  <si>
    <t>行政机关有没有按程序办事？</t>
  </si>
  <si>
    <t>行政行为</t>
  </si>
  <si>
    <t>行政许可</t>
  </si>
  <si>
    <t>行政处罚</t>
  </si>
  <si>
    <t>行政强制</t>
  </si>
  <si>
    <t>行政复议</t>
  </si>
  <si>
    <t>行政诉讼</t>
  </si>
  <si>
    <t>如果你以后考公务员。</t>
  </si>
  <si>
    <t>这一部分价值极高。</t>
  </si>
  <si>
    <t>第六发动机：诉讼法</t>
  </si>
  <si>
    <t>很多人把民诉和刑诉当背诵。</t>
  </si>
  <si>
    <t>其实不是。</t>
  </si>
  <si>
    <t>诉讼法核心只有一句：</t>
  </si>
  <si>
    <t>出现争议以后怎么解决。</t>
  </si>
  <si>
    <t>民诉：</t>
  </si>
  <si>
    <t>起诉</t>
  </si>
  <si>
    <t>受理</t>
  </si>
  <si>
    <t>审理</t>
  </si>
  <si>
    <t>判决</t>
  </si>
  <si>
    <t>执行</t>
  </si>
  <si>
    <t>刑诉：</t>
  </si>
  <si>
    <t>立案</t>
  </si>
  <si>
    <t>侦查</t>
  </si>
  <si>
    <t>审判</t>
  </si>
  <si>
    <t>你把流程画出来。</t>
  </si>
  <si>
    <t>会轻松很多。</t>
  </si>
  <si>
    <t>对你最特殊的一点</t>
  </si>
  <si>
    <t>你的情况和普通法考生不一样。</t>
  </si>
  <si>
    <t>因为你同时学：</t>
  </si>
  <si>
    <t>CPA会计</t>
  </si>
  <si>
    <t>CPA税法</t>
  </si>
  <si>
    <t>CPA经济法</t>
  </si>
  <si>
    <t>未来可能：</t>
  </si>
  <si>
    <t>财税咨询</t>
  </si>
  <si>
    <t>商业分析</t>
  </si>
  <si>
    <t>自媒体</t>
  </si>
  <si>
    <t>公务员</t>
  </si>
  <si>
    <t>所以你的学习顺序应该调整。</t>
  </si>
  <si>
    <t>第一阶段（法学操作系统）</t>
  </si>
  <si>
    <t>1 民法总则</t>
  </si>
  <si>
    <t>2 代理</t>
  </si>
  <si>
    <t>3 法律行为</t>
  </si>
  <si>
    <t>4 物权</t>
  </si>
  <si>
    <t>5 合同</t>
  </si>
  <si>
    <t>目标：</t>
  </si>
  <si>
    <t>建立法律关系思维。</t>
  </si>
  <si>
    <t>第二阶段（商业法律体系）</t>
  </si>
  <si>
    <t>6 公司法</t>
  </si>
  <si>
    <t>7 合伙企业法</t>
  </si>
  <si>
    <t>8 证券法</t>
  </si>
  <si>
    <t>9 破产法</t>
  </si>
  <si>
    <t>10 票据法</t>
  </si>
  <si>
    <t>这一阶段和CPA经济法高度重合。</t>
  </si>
  <si>
    <t>你会学得特别快。</t>
  </si>
  <si>
    <t>第三阶段（公法体系）</t>
  </si>
  <si>
    <t>11 行政法</t>
  </si>
  <si>
    <t>12 行政诉讼法</t>
  </si>
  <si>
    <t>未来考公也有价值。</t>
  </si>
  <si>
    <t>第四阶段（刑法体系）</t>
  </si>
  <si>
    <t>13 刑法总论</t>
  </si>
  <si>
    <t>14 刑法分论</t>
  </si>
  <si>
    <t>15 刑事诉讼法</t>
  </si>
  <si>
    <t>第五阶段（程序法）</t>
  </si>
  <si>
    <t>16 民事诉讼法</t>
  </si>
  <si>
    <t>17 仲裁</t>
  </si>
  <si>
    <t>18 执行程序</t>
  </si>
  <si>
    <t>第六阶段（记忆型科目）</t>
  </si>
  <si>
    <t>19 理论法</t>
  </si>
  <si>
    <t>20 三国法</t>
  </si>
  <si>
    <t>21 环资法</t>
  </si>
  <si>
    <t>22 劳动社保法</t>
  </si>
  <si>
    <t>23 知识产权</t>
  </si>
  <si>
    <t>如果从“解释力”和“带动作用”来看，我会给法考各模块排一个等级：</t>
  </si>
  <si>
    <t>等级</t>
  </si>
  <si>
    <t>模块</t>
  </si>
  <si>
    <t>作用</t>
  </si>
  <si>
    <t>SSS</t>
  </si>
  <si>
    <t>民法总则+法律行为+代理</t>
  </si>
  <si>
    <t>整个法学的底层逻辑</t>
  </si>
  <si>
    <t>SS</t>
  </si>
  <si>
    <t>合同、物权</t>
  </si>
  <si>
    <t>民商法核心</t>
  </si>
  <si>
    <t>刑法总论</t>
  </si>
  <si>
    <t>刑法核心框架</t>
  </si>
  <si>
    <t>S</t>
  </si>
  <si>
    <t>公司法、证券法、破产法</t>
  </si>
  <si>
    <t>商业法律核心</t>
  </si>
  <si>
    <t>行政法</t>
  </si>
  <si>
    <t>公法核心</t>
  </si>
  <si>
    <t>A</t>
  </si>
  <si>
    <t>民诉、刑诉</t>
  </si>
  <si>
    <t>程序框架</t>
  </si>
  <si>
    <t>B</t>
  </si>
  <si>
    <t>知识产权、劳动法</t>
  </si>
  <si>
    <t>专题法</t>
  </si>
  <si>
    <t>C</t>
  </si>
  <si>
    <t>三国法、理论法部分内容</t>
  </si>
  <si>
    <t>主要靠记忆</t>
  </si>
  <si>
    <t>对于你这种已经在用“经济实质”理解会计的人，我预计你学法考最应该优先培养的能力不是背法条，而是：</t>
  </si>
  <si>
    <t>看到一个案例，先画出法律关系图。</t>
  </si>
  <si>
    <t>就像你现在做会计题先判断：</t>
  </si>
  <si>
    <t>债权？</t>
  </si>
  <si>
    <t>股权？</t>
  </si>
  <si>
    <t>重大影响？</t>
  </si>
  <si>
    <t>控制？</t>
  </si>
  <si>
    <t>未来做法考题时先判断：</t>
  </si>
  <si>
    <t>谁是主体？</t>
  </si>
  <si>
    <t>发生了什么法律行为？</t>
  </si>
  <si>
    <t>产生了什么权利义务？</t>
  </si>
  <si>
    <t>法律后果是什么？</t>
  </si>
  <si>
    <t>当你能这样分析时，民法、商法、经济法会出现和你现在学金融工具、长投一样的“突然变简单”的感觉。</t>
  </si>
  <si>
    <t>行政法概述</t>
    <phoneticPr fontId="2" type="noConversion"/>
  </si>
  <si>
    <t>概念体系</t>
    <phoneticPr fontId="2" type="noConversion"/>
  </si>
  <si>
    <t>基本原则</t>
    <phoneticPr fontId="2" type="noConversion"/>
  </si>
  <si>
    <t>行政主体</t>
    <phoneticPr fontId="2" type="noConversion"/>
  </si>
  <si>
    <t>公务员法</t>
    <phoneticPr fontId="2" type="noConversion"/>
  </si>
  <si>
    <t>抽象行政行为</t>
    <phoneticPr fontId="2" type="noConversion"/>
  </si>
  <si>
    <t>概述</t>
    <phoneticPr fontId="2" type="noConversion"/>
  </si>
  <si>
    <t>法规制定程序</t>
    <phoneticPr fontId="2" type="noConversion"/>
  </si>
  <si>
    <t>规章制定程序</t>
    <phoneticPr fontId="2" type="noConversion"/>
  </si>
  <si>
    <t>具体行政行为概述</t>
    <phoneticPr fontId="2" type="noConversion"/>
  </si>
  <si>
    <t>成立和效力</t>
    <phoneticPr fontId="2" type="noConversion"/>
  </si>
  <si>
    <t>行政许可</t>
    <phoneticPr fontId="2" type="noConversion"/>
  </si>
  <si>
    <t>设定和具体规定</t>
    <phoneticPr fontId="2" type="noConversion"/>
  </si>
  <si>
    <t>实施</t>
    <phoneticPr fontId="2" type="noConversion"/>
  </si>
  <si>
    <t>监督检查</t>
    <phoneticPr fontId="2" type="noConversion"/>
  </si>
  <si>
    <t>行政处罚</t>
    <phoneticPr fontId="2" type="noConversion"/>
  </si>
  <si>
    <t>落实</t>
    <phoneticPr fontId="2" type="noConversion"/>
  </si>
  <si>
    <t>治安管理处罚的实施</t>
    <phoneticPr fontId="2" type="noConversion"/>
  </si>
  <si>
    <t>行政处罚的执行</t>
    <phoneticPr fontId="2" type="noConversion"/>
  </si>
  <si>
    <t>行政强制</t>
    <phoneticPr fontId="2" type="noConversion"/>
  </si>
  <si>
    <t>种类和设定</t>
    <phoneticPr fontId="2" type="noConversion"/>
  </si>
  <si>
    <t>措施的实施</t>
    <phoneticPr fontId="2" type="noConversion"/>
  </si>
  <si>
    <t>执行的实施</t>
    <phoneticPr fontId="2" type="noConversion"/>
  </si>
  <si>
    <t>其他具体行政行为</t>
    <phoneticPr fontId="2" type="noConversion"/>
  </si>
  <si>
    <t>政府信息公开</t>
    <phoneticPr fontId="2" type="noConversion"/>
  </si>
  <si>
    <t>行政争议法总论</t>
    <phoneticPr fontId="2" type="noConversion"/>
  </si>
  <si>
    <t>行政诉讼参加人</t>
    <phoneticPr fontId="2" type="noConversion"/>
  </si>
  <si>
    <t>被告</t>
    <phoneticPr fontId="2" type="noConversion"/>
  </si>
  <si>
    <t>原告</t>
    <phoneticPr fontId="2" type="noConversion"/>
  </si>
  <si>
    <t>共同诉讼</t>
    <phoneticPr fontId="2" type="noConversion"/>
  </si>
  <si>
    <t>第三人</t>
    <phoneticPr fontId="2" type="noConversion"/>
  </si>
  <si>
    <t>代表人和代理人</t>
    <phoneticPr fontId="2" type="noConversion"/>
  </si>
  <si>
    <t>行政诉讼的管辖</t>
    <phoneticPr fontId="2" type="noConversion"/>
  </si>
  <si>
    <t>原理</t>
    <phoneticPr fontId="2" type="noConversion"/>
  </si>
  <si>
    <t>具体知识</t>
    <phoneticPr fontId="2" type="noConversion"/>
  </si>
  <si>
    <t>行政诉讼的受案范围</t>
    <phoneticPr fontId="2" type="noConversion"/>
  </si>
  <si>
    <t>具体行政行为可受案</t>
    <phoneticPr fontId="2" type="noConversion"/>
  </si>
  <si>
    <t>行政合同可受案</t>
    <phoneticPr fontId="2" type="noConversion"/>
  </si>
  <si>
    <t>部分抽象行政行为可附带性受案</t>
    <phoneticPr fontId="2" type="noConversion"/>
  </si>
  <si>
    <t>行政诉讼程序</t>
    <phoneticPr fontId="2" type="noConversion"/>
  </si>
  <si>
    <t>起诉和受理</t>
    <phoneticPr fontId="2" type="noConversion"/>
  </si>
  <si>
    <t>审理程序</t>
    <phoneticPr fontId="2" type="noConversion"/>
  </si>
  <si>
    <t>特殊制度</t>
    <phoneticPr fontId="2" type="noConversion"/>
  </si>
  <si>
    <t>行政诉讼证据</t>
    <phoneticPr fontId="2" type="noConversion"/>
  </si>
  <si>
    <t>行政诉讼的法律适用</t>
    <phoneticPr fontId="2" type="noConversion"/>
  </si>
  <si>
    <t>行政诉讼的裁判和执行</t>
    <phoneticPr fontId="2" type="noConversion"/>
  </si>
  <si>
    <t>一审判决</t>
    <phoneticPr fontId="2" type="noConversion"/>
  </si>
  <si>
    <t>二审判决</t>
    <phoneticPr fontId="2" type="noConversion"/>
  </si>
  <si>
    <t>行政诉讼的执行</t>
    <phoneticPr fontId="2" type="noConversion"/>
  </si>
  <si>
    <t>行政公益诉讼</t>
    <phoneticPr fontId="2" type="noConversion"/>
  </si>
  <si>
    <t>行政协议及其诉讼制度</t>
    <phoneticPr fontId="2" type="noConversion"/>
  </si>
  <si>
    <t>行政复议制度</t>
    <phoneticPr fontId="2" type="noConversion"/>
  </si>
  <si>
    <t>受案范围</t>
    <phoneticPr fontId="2" type="noConversion"/>
  </si>
  <si>
    <t>参加人和复议机关</t>
    <phoneticPr fontId="2" type="noConversion"/>
  </si>
  <si>
    <t>一般程序</t>
    <phoneticPr fontId="2" type="noConversion"/>
  </si>
  <si>
    <t>特别程序</t>
    <phoneticPr fontId="2" type="noConversion"/>
  </si>
  <si>
    <t>证据和法律适用制度</t>
    <phoneticPr fontId="2" type="noConversion"/>
  </si>
  <si>
    <t>对抽象行政行为附带性审查</t>
    <phoneticPr fontId="2" type="noConversion"/>
  </si>
  <si>
    <t>行政复议的决议</t>
    <phoneticPr fontId="2" type="noConversion"/>
  </si>
  <si>
    <t>国家赔偿</t>
    <phoneticPr fontId="2" type="noConversion"/>
  </si>
  <si>
    <t>总论</t>
    <phoneticPr fontId="2" type="noConversion"/>
  </si>
  <si>
    <t>行政赔偿</t>
    <phoneticPr fontId="2" type="noConversion"/>
  </si>
  <si>
    <t>司法赔偿</t>
    <phoneticPr fontId="2" type="noConversion"/>
  </si>
  <si>
    <t>国家赔偿方式，标准和费用</t>
    <phoneticPr fontId="2" type="noConversion"/>
  </si>
  <si>
    <t>解释</t>
    <phoneticPr fontId="2" type="noConversion"/>
  </si>
  <si>
    <t>原则</t>
    <phoneticPr fontId="2" type="noConversion"/>
  </si>
  <si>
    <t>效力</t>
    <phoneticPr fontId="2" type="noConversion"/>
  </si>
  <si>
    <t>犯罪构成</t>
    <phoneticPr fontId="2" type="noConversion"/>
  </si>
  <si>
    <t>定罪标准：四要件犯罪构成体系</t>
    <phoneticPr fontId="2" type="noConversion"/>
  </si>
  <si>
    <t>定罪方法：三段论推理</t>
    <phoneticPr fontId="2" type="noConversion"/>
  </si>
  <si>
    <t>犯罪客体</t>
    <phoneticPr fontId="2" type="noConversion"/>
  </si>
  <si>
    <t>犯罪主体</t>
    <phoneticPr fontId="2" type="noConversion"/>
  </si>
  <si>
    <t>自然人</t>
    <phoneticPr fontId="2" type="noConversion"/>
  </si>
  <si>
    <t>单位犯罪</t>
    <phoneticPr fontId="2" type="noConversion"/>
  </si>
  <si>
    <t>客观要件1：行为</t>
    <phoneticPr fontId="2" type="noConversion"/>
  </si>
  <si>
    <t>危害行为</t>
    <phoneticPr fontId="2" type="noConversion"/>
  </si>
  <si>
    <t>不作为犯的分类</t>
    <phoneticPr fontId="2" type="noConversion"/>
  </si>
  <si>
    <t>不作为犯的成立条件</t>
    <phoneticPr fontId="2" type="noConversion"/>
  </si>
  <si>
    <t>客观要件二：结果</t>
    <phoneticPr fontId="2" type="noConversion"/>
  </si>
  <si>
    <t>法益侵害事实的分类</t>
    <phoneticPr fontId="2" type="noConversion"/>
  </si>
  <si>
    <t>结果加重犯</t>
    <phoneticPr fontId="2" type="noConversion"/>
  </si>
  <si>
    <t>客观要件三：因果关系</t>
    <phoneticPr fontId="2" type="noConversion"/>
  </si>
  <si>
    <t>关于因的要求</t>
    <phoneticPr fontId="2" type="noConversion"/>
  </si>
  <si>
    <t>关于果的要求</t>
    <phoneticPr fontId="2" type="noConversion"/>
  </si>
  <si>
    <t>关于因与果的关系：介入因素的案件</t>
    <phoneticPr fontId="2" type="noConversion"/>
  </si>
  <si>
    <t>无法查明的案件</t>
    <phoneticPr fontId="2" type="noConversion"/>
  </si>
  <si>
    <t>主观要件</t>
    <phoneticPr fontId="2" type="noConversion"/>
  </si>
  <si>
    <t>犯罪故意</t>
    <phoneticPr fontId="2" type="noConversion"/>
  </si>
  <si>
    <t>罪过形式的区分</t>
    <phoneticPr fontId="2" type="noConversion"/>
  </si>
  <si>
    <t>事实认识错误</t>
    <phoneticPr fontId="2" type="noConversion"/>
  </si>
  <si>
    <t>排除犯罪事由1：排除违法事由</t>
    <phoneticPr fontId="2" type="noConversion"/>
  </si>
  <si>
    <t>正当防卫</t>
    <phoneticPr fontId="2" type="noConversion"/>
  </si>
  <si>
    <t>紧急避险</t>
    <phoneticPr fontId="2" type="noConversion"/>
  </si>
  <si>
    <t>被害人承诺</t>
    <phoneticPr fontId="2" type="noConversion"/>
  </si>
  <si>
    <t>排除犯罪事由2：排除责任事由</t>
    <phoneticPr fontId="2" type="noConversion"/>
  </si>
  <si>
    <t>责任年龄</t>
    <phoneticPr fontId="2" type="noConversion"/>
  </si>
  <si>
    <t>责任能力</t>
    <phoneticPr fontId="2" type="noConversion"/>
  </si>
  <si>
    <t>法律认识错误</t>
    <phoneticPr fontId="2" type="noConversion"/>
  </si>
  <si>
    <t>期待可能性</t>
    <phoneticPr fontId="2" type="noConversion"/>
  </si>
  <si>
    <t>犯罪形态</t>
    <phoneticPr fontId="2" type="noConversion"/>
  </si>
  <si>
    <t>犯罪预备</t>
    <phoneticPr fontId="2" type="noConversion"/>
  </si>
  <si>
    <t>未遂</t>
    <phoneticPr fontId="2" type="noConversion"/>
  </si>
  <si>
    <t>终止</t>
    <phoneticPr fontId="2" type="noConversion"/>
  </si>
  <si>
    <t>既遂</t>
    <phoneticPr fontId="2" type="noConversion"/>
  </si>
  <si>
    <t>共同犯罪</t>
    <phoneticPr fontId="2" type="noConversion"/>
  </si>
  <si>
    <t>分类和原理</t>
    <phoneticPr fontId="2" type="noConversion"/>
  </si>
  <si>
    <t>共同正犯</t>
    <phoneticPr fontId="2" type="noConversion"/>
  </si>
  <si>
    <t>间接正犯</t>
    <phoneticPr fontId="2" type="noConversion"/>
  </si>
  <si>
    <t>正犯和共犯的关系</t>
    <phoneticPr fontId="2" type="noConversion"/>
  </si>
  <si>
    <t>教唆犯</t>
    <phoneticPr fontId="2" type="noConversion"/>
  </si>
  <si>
    <t>帮助犯</t>
    <phoneticPr fontId="2" type="noConversion"/>
  </si>
  <si>
    <t>正犯的责任年龄和责任能力</t>
    <phoneticPr fontId="2" type="noConversion"/>
  </si>
  <si>
    <t>共同犯罪的参与时间</t>
    <phoneticPr fontId="2" type="noConversion"/>
  </si>
  <si>
    <t>片面的共同犯罪</t>
    <phoneticPr fontId="2" type="noConversion"/>
  </si>
  <si>
    <t>共同犯罪的结合问题</t>
    <phoneticPr fontId="2" type="noConversion"/>
  </si>
  <si>
    <t>共同犯罪的处罚规定</t>
    <phoneticPr fontId="2" type="noConversion"/>
  </si>
  <si>
    <t>罪数</t>
    <phoneticPr fontId="2" type="noConversion"/>
  </si>
  <si>
    <t>一个行为</t>
    <phoneticPr fontId="2" type="noConversion"/>
  </si>
  <si>
    <t>两个行为</t>
    <phoneticPr fontId="2" type="noConversion"/>
  </si>
  <si>
    <t>刑罚的体系</t>
    <phoneticPr fontId="2" type="noConversion"/>
  </si>
  <si>
    <t>主刑</t>
    <phoneticPr fontId="2" type="noConversion"/>
  </si>
  <si>
    <t>附加刑</t>
    <phoneticPr fontId="2" type="noConversion"/>
  </si>
  <si>
    <t>非刑罚处罚措施</t>
    <phoneticPr fontId="2" type="noConversion"/>
  </si>
  <si>
    <t>刑罚的裁量</t>
    <phoneticPr fontId="2" type="noConversion"/>
  </si>
  <si>
    <t>量刑情节</t>
    <phoneticPr fontId="2" type="noConversion"/>
  </si>
  <si>
    <t>累犯</t>
    <phoneticPr fontId="2" type="noConversion"/>
  </si>
  <si>
    <t>自首</t>
    <phoneticPr fontId="2" type="noConversion"/>
  </si>
  <si>
    <t>立功</t>
    <phoneticPr fontId="2" type="noConversion"/>
  </si>
  <si>
    <t>数罪并罚</t>
    <phoneticPr fontId="2" type="noConversion"/>
  </si>
  <si>
    <t>缓刑</t>
    <phoneticPr fontId="2" type="noConversion"/>
  </si>
  <si>
    <t>刑罚的执行和消灭</t>
    <phoneticPr fontId="2" type="noConversion"/>
  </si>
  <si>
    <t>减刑</t>
    <phoneticPr fontId="2" type="noConversion"/>
  </si>
  <si>
    <t>假释</t>
    <phoneticPr fontId="2" type="noConversion"/>
  </si>
  <si>
    <t>消灭和追诉时效</t>
    <phoneticPr fontId="2" type="noConversion"/>
  </si>
  <si>
    <t>分论概说</t>
    <phoneticPr fontId="2" type="noConversion"/>
  </si>
  <si>
    <t>罪名与罪状</t>
    <phoneticPr fontId="2" type="noConversion"/>
  </si>
  <si>
    <t>注意规定和法律拟制</t>
    <phoneticPr fontId="2" type="noConversion"/>
  </si>
  <si>
    <t>人身犯罪</t>
    <phoneticPr fontId="2" type="noConversion"/>
  </si>
  <si>
    <t>侵犯生命，身体的犯罪</t>
    <phoneticPr fontId="2" type="noConversion"/>
  </si>
  <si>
    <t>侵犯性权利的犯罪</t>
    <phoneticPr fontId="2" type="noConversion"/>
  </si>
  <si>
    <t>侵犯人身自由的犯罪</t>
    <phoneticPr fontId="2" type="noConversion"/>
  </si>
  <si>
    <t>侵犯名誉权，人身权的犯罪</t>
    <phoneticPr fontId="2" type="noConversion"/>
  </si>
  <si>
    <t>侵犯婚姻家庭的犯罪</t>
    <phoneticPr fontId="2" type="noConversion"/>
  </si>
  <si>
    <t>财产犯罪</t>
    <phoneticPr fontId="2" type="noConversion"/>
  </si>
  <si>
    <t>侵占罪</t>
    <phoneticPr fontId="2" type="noConversion"/>
  </si>
  <si>
    <t>盗窃罪</t>
    <phoneticPr fontId="2" type="noConversion"/>
  </si>
  <si>
    <t>抢夺罪</t>
    <phoneticPr fontId="2" type="noConversion"/>
  </si>
  <si>
    <t>抢劫罪</t>
    <phoneticPr fontId="2" type="noConversion"/>
  </si>
  <si>
    <t>敲诈勒索罪</t>
    <phoneticPr fontId="2" type="noConversion"/>
  </si>
  <si>
    <t>诈骗罪</t>
    <phoneticPr fontId="2" type="noConversion"/>
  </si>
  <si>
    <t>职务侵占罪</t>
    <phoneticPr fontId="2" type="noConversion"/>
  </si>
  <si>
    <t>普通罪名</t>
    <phoneticPr fontId="2" type="noConversion"/>
  </si>
  <si>
    <t>财产犯罪的既遂</t>
    <phoneticPr fontId="2" type="noConversion"/>
  </si>
  <si>
    <t>财产犯罪的数额</t>
    <phoneticPr fontId="2" type="noConversion"/>
  </si>
  <si>
    <t>财产性利益</t>
    <phoneticPr fontId="2" type="noConversion"/>
  </si>
  <si>
    <t>财产犯罪的罪数关系</t>
    <phoneticPr fontId="2" type="noConversion"/>
  </si>
  <si>
    <t>危害公共安全罪</t>
    <phoneticPr fontId="2" type="noConversion"/>
  </si>
  <si>
    <t>危险方法型犯罪</t>
    <phoneticPr fontId="2" type="noConversion"/>
  </si>
  <si>
    <t>破坏型犯罪</t>
    <phoneticPr fontId="2" type="noConversion"/>
  </si>
  <si>
    <t>交通型犯罪</t>
    <phoneticPr fontId="2" type="noConversion"/>
  </si>
  <si>
    <t>恐怖型犯罪</t>
    <phoneticPr fontId="2" type="noConversion"/>
  </si>
  <si>
    <t>枪支类犯罪</t>
    <phoneticPr fontId="2" type="noConversion"/>
  </si>
  <si>
    <t>安全生产领域犯罪</t>
    <phoneticPr fontId="2" type="noConversion"/>
  </si>
  <si>
    <t>经济犯罪</t>
    <phoneticPr fontId="2" type="noConversion"/>
  </si>
  <si>
    <t>生产，销售伪劣商品罪</t>
    <phoneticPr fontId="2" type="noConversion"/>
  </si>
  <si>
    <t>走私犯罪</t>
    <phoneticPr fontId="2" type="noConversion"/>
  </si>
  <si>
    <t>妨害对公司，企业的管理秩序罪</t>
    <phoneticPr fontId="2" type="noConversion"/>
  </si>
  <si>
    <t>破坏金融管理秩序罪</t>
    <phoneticPr fontId="2" type="noConversion"/>
  </si>
  <si>
    <t>金融诈骗罪</t>
    <phoneticPr fontId="2" type="noConversion"/>
  </si>
  <si>
    <t>危害税收征管罪</t>
    <phoneticPr fontId="2" type="noConversion"/>
  </si>
  <si>
    <t>侵犯知识产权罪</t>
    <phoneticPr fontId="2" type="noConversion"/>
  </si>
  <si>
    <t>扰乱市场秩序罪</t>
    <phoneticPr fontId="2" type="noConversion"/>
  </si>
  <si>
    <t>社会秩序犯罪</t>
    <phoneticPr fontId="2" type="noConversion"/>
  </si>
  <si>
    <t>扰乱公共秩序罪</t>
    <phoneticPr fontId="2" type="noConversion"/>
  </si>
  <si>
    <t>妨害司法罪</t>
    <phoneticPr fontId="2" type="noConversion"/>
  </si>
  <si>
    <t>妨害文物管理罪</t>
    <phoneticPr fontId="2" type="noConversion"/>
  </si>
  <si>
    <t>妨害国境管理罪</t>
    <phoneticPr fontId="2" type="noConversion"/>
  </si>
  <si>
    <t>危害公共卫生罪</t>
    <phoneticPr fontId="2" type="noConversion"/>
  </si>
  <si>
    <t>环境犯罪</t>
    <phoneticPr fontId="2" type="noConversion"/>
  </si>
  <si>
    <t>毒品犯罪</t>
    <phoneticPr fontId="2" type="noConversion"/>
  </si>
  <si>
    <t>卖淫类犯罪</t>
    <phoneticPr fontId="2" type="noConversion"/>
  </si>
  <si>
    <t>关于淫秽物品的犯罪</t>
    <phoneticPr fontId="2" type="noConversion"/>
  </si>
  <si>
    <t>贪污受贿罪</t>
    <phoneticPr fontId="2" type="noConversion"/>
  </si>
  <si>
    <t>贪污罪</t>
    <phoneticPr fontId="2" type="noConversion"/>
  </si>
  <si>
    <t>挪用公款罪</t>
    <phoneticPr fontId="2" type="noConversion"/>
  </si>
  <si>
    <t>行贿罪</t>
    <phoneticPr fontId="2" type="noConversion"/>
  </si>
  <si>
    <t>受贿罪</t>
    <phoneticPr fontId="2" type="noConversion"/>
  </si>
  <si>
    <t>斡旋受贿</t>
    <phoneticPr fontId="2" type="noConversion"/>
  </si>
  <si>
    <t>利用影响力受贿罪</t>
    <phoneticPr fontId="2" type="noConversion"/>
  </si>
  <si>
    <t>渎职罪</t>
    <phoneticPr fontId="2" type="noConversion"/>
  </si>
  <si>
    <t>重点罪名</t>
    <phoneticPr fontId="2" type="noConversion"/>
  </si>
  <si>
    <t>危害国家安全罪</t>
    <phoneticPr fontId="2" type="noConversion"/>
  </si>
  <si>
    <t>刑诉三大逻辑</t>
    <phoneticPr fontId="2" type="noConversion"/>
  </si>
  <si>
    <t>基础原理</t>
    <phoneticPr fontId="2" type="noConversion"/>
  </si>
  <si>
    <t>刑诉概述</t>
    <phoneticPr fontId="2" type="noConversion"/>
  </si>
  <si>
    <t>刑诉原则</t>
    <phoneticPr fontId="2" type="noConversion"/>
  </si>
  <si>
    <t>通用制度</t>
    <phoneticPr fontId="2" type="noConversion"/>
  </si>
  <si>
    <t>刑诉中专门机关的诉讼参与人</t>
    <phoneticPr fontId="2" type="noConversion"/>
  </si>
  <si>
    <t>管辖</t>
    <phoneticPr fontId="2" type="noConversion"/>
  </si>
  <si>
    <t>回避</t>
    <phoneticPr fontId="2" type="noConversion"/>
  </si>
  <si>
    <t>辩护与代理</t>
    <phoneticPr fontId="2" type="noConversion"/>
  </si>
  <si>
    <t>刑事证据与证明</t>
    <phoneticPr fontId="2" type="noConversion"/>
  </si>
  <si>
    <t>强制措施</t>
    <phoneticPr fontId="2" type="noConversion"/>
  </si>
  <si>
    <t>附带民事诉讼</t>
    <phoneticPr fontId="2" type="noConversion"/>
  </si>
  <si>
    <t>期间送达</t>
    <phoneticPr fontId="2" type="noConversion"/>
  </si>
  <si>
    <t>办案流程</t>
    <phoneticPr fontId="2" type="noConversion"/>
  </si>
  <si>
    <t>立案</t>
    <phoneticPr fontId="2" type="noConversion"/>
  </si>
  <si>
    <t>侦查</t>
    <phoneticPr fontId="2" type="noConversion"/>
  </si>
  <si>
    <t>起诉</t>
    <phoneticPr fontId="2" type="noConversion"/>
  </si>
  <si>
    <t>第一审程序</t>
    <phoneticPr fontId="2" type="noConversion"/>
  </si>
  <si>
    <t>第二审程序</t>
    <phoneticPr fontId="2" type="noConversion"/>
  </si>
  <si>
    <t>死刑复核程序</t>
    <phoneticPr fontId="2" type="noConversion"/>
  </si>
  <si>
    <t>审判监督程序</t>
    <phoneticPr fontId="2" type="noConversion"/>
  </si>
  <si>
    <t>执行</t>
    <phoneticPr fontId="2" type="noConversion"/>
  </si>
  <si>
    <t>未成年人刑事案件诉讼程序</t>
    <phoneticPr fontId="2" type="noConversion"/>
  </si>
  <si>
    <t>当事人和解的公诉案件诉讼程序</t>
    <phoneticPr fontId="2" type="noConversion"/>
  </si>
  <si>
    <t>缺席审判程序</t>
    <phoneticPr fontId="2" type="noConversion"/>
  </si>
  <si>
    <t>民诉与民诉法</t>
    <phoneticPr fontId="2" type="noConversion"/>
  </si>
  <si>
    <t>基本原理</t>
    <phoneticPr fontId="2" type="noConversion"/>
  </si>
  <si>
    <t>基本原则和基本制度</t>
    <phoneticPr fontId="2" type="noConversion"/>
  </si>
  <si>
    <t>主管与管辖</t>
    <phoneticPr fontId="2" type="noConversion"/>
  </si>
  <si>
    <t>当事人</t>
    <phoneticPr fontId="2" type="noConversion"/>
  </si>
  <si>
    <t>诉讼代理人</t>
    <phoneticPr fontId="2" type="noConversion"/>
  </si>
  <si>
    <t>证明</t>
    <phoneticPr fontId="2" type="noConversion"/>
  </si>
  <si>
    <t>证据</t>
    <phoneticPr fontId="2" type="noConversion"/>
  </si>
  <si>
    <t>证明程序</t>
    <phoneticPr fontId="2" type="noConversion"/>
  </si>
  <si>
    <t>保全与先予执行</t>
    <phoneticPr fontId="2" type="noConversion"/>
  </si>
  <si>
    <t>对妨碍诉讼的强制措施</t>
    <phoneticPr fontId="2" type="noConversion"/>
  </si>
  <si>
    <t>期间与送达</t>
    <phoneticPr fontId="2" type="noConversion"/>
  </si>
  <si>
    <t>调解</t>
    <phoneticPr fontId="2" type="noConversion"/>
  </si>
  <si>
    <t>一审普通程序</t>
    <phoneticPr fontId="2" type="noConversion"/>
  </si>
  <si>
    <t>简易程序</t>
    <phoneticPr fontId="2" type="noConversion"/>
  </si>
  <si>
    <t>公益诉讼程序</t>
    <phoneticPr fontId="2" type="noConversion"/>
  </si>
  <si>
    <t>第三人撤销之诉</t>
    <phoneticPr fontId="2" type="noConversion"/>
  </si>
  <si>
    <t>二审程序</t>
    <phoneticPr fontId="2" type="noConversion"/>
  </si>
  <si>
    <t>非诉程序之督促程序</t>
    <phoneticPr fontId="2" type="noConversion"/>
  </si>
  <si>
    <t>非诉程序之公示催告程序</t>
    <phoneticPr fontId="2" type="noConversion"/>
  </si>
  <si>
    <t>执行程序</t>
    <phoneticPr fontId="2" type="noConversion"/>
  </si>
  <si>
    <t>涉外民事诉讼程序</t>
    <phoneticPr fontId="2" type="noConversion"/>
  </si>
  <si>
    <t>仲裁概述</t>
    <phoneticPr fontId="2" type="noConversion"/>
  </si>
  <si>
    <t>仲裁协议</t>
    <phoneticPr fontId="2" type="noConversion"/>
  </si>
  <si>
    <t>仲裁程序</t>
    <phoneticPr fontId="2" type="noConversion"/>
  </si>
  <si>
    <t>司法与仲裁</t>
    <phoneticPr fontId="2" type="noConversion"/>
  </si>
  <si>
    <t>法的本体</t>
    <phoneticPr fontId="2" type="noConversion"/>
  </si>
  <si>
    <t>法的运行</t>
    <phoneticPr fontId="2" type="noConversion"/>
  </si>
  <si>
    <t>法的演进</t>
    <phoneticPr fontId="2" type="noConversion"/>
  </si>
  <si>
    <t>法与社会</t>
    <phoneticPr fontId="2" type="noConversion"/>
  </si>
  <si>
    <t>立法法</t>
    <phoneticPr fontId="2" type="noConversion"/>
  </si>
  <si>
    <t>习近平法治思想</t>
    <phoneticPr fontId="2" type="noConversion"/>
  </si>
  <si>
    <t>形成发展及意义</t>
    <phoneticPr fontId="2" type="noConversion"/>
  </si>
  <si>
    <t>核心要义</t>
    <phoneticPr fontId="2" type="noConversion"/>
  </si>
  <si>
    <t>实践要求</t>
    <phoneticPr fontId="2" type="noConversion"/>
  </si>
  <si>
    <t>宪法学</t>
    <phoneticPr fontId="2" type="noConversion"/>
  </si>
  <si>
    <t>理论</t>
    <phoneticPr fontId="2" type="noConversion"/>
  </si>
  <si>
    <t>国家基本制度</t>
    <phoneticPr fontId="2" type="noConversion"/>
  </si>
  <si>
    <t>公民基本权利和义务</t>
    <phoneticPr fontId="2" type="noConversion"/>
  </si>
  <si>
    <t>国家机构</t>
    <phoneticPr fontId="2" type="noConversion"/>
  </si>
  <si>
    <t>宪法的实施及其保障</t>
    <phoneticPr fontId="2" type="noConversion"/>
  </si>
  <si>
    <t>中国法律史</t>
    <phoneticPr fontId="2" type="noConversion"/>
  </si>
  <si>
    <t>西方同时期法文化背景</t>
    <phoneticPr fontId="2" type="noConversion"/>
  </si>
  <si>
    <t>司法制度和法律职业道德</t>
    <phoneticPr fontId="2" type="noConversion"/>
  </si>
  <si>
    <t>审判制度和法官职业道德</t>
    <phoneticPr fontId="2" type="noConversion"/>
  </si>
  <si>
    <t>检查制度和检察官职业道德</t>
    <phoneticPr fontId="2" type="noConversion"/>
  </si>
  <si>
    <t>律师制度和律师职业道德</t>
    <phoneticPr fontId="2" type="noConversion"/>
  </si>
  <si>
    <t>法律援助和公证制度</t>
    <phoneticPr fontId="2" type="noConversion"/>
  </si>
  <si>
    <t>国际法</t>
    <phoneticPr fontId="2" type="noConversion"/>
  </si>
  <si>
    <t>导论</t>
    <phoneticPr fontId="2" type="noConversion"/>
  </si>
  <si>
    <t>国际法主体和国际法律责任</t>
    <phoneticPr fontId="2" type="noConversion"/>
  </si>
  <si>
    <t>国际法上的空间划分</t>
    <phoneticPr fontId="2" type="noConversion"/>
  </si>
  <si>
    <t>国家法上的个人</t>
    <phoneticPr fontId="2" type="noConversion"/>
  </si>
  <si>
    <t>外交关系法和领事关系法</t>
    <phoneticPr fontId="2" type="noConversion"/>
  </si>
  <si>
    <t>条约法</t>
    <phoneticPr fontId="2" type="noConversion"/>
  </si>
  <si>
    <t>国际争端的解决方式</t>
    <phoneticPr fontId="2" type="noConversion"/>
  </si>
  <si>
    <t>战争和武装冲突法</t>
    <phoneticPr fontId="2" type="noConversion"/>
  </si>
  <si>
    <t>冲突规范</t>
    <phoneticPr fontId="2" type="noConversion"/>
  </si>
  <si>
    <t>国际民商事法律适用</t>
    <phoneticPr fontId="2" type="noConversion"/>
  </si>
  <si>
    <t>国际民商事争议解决</t>
    <phoneticPr fontId="2" type="noConversion"/>
  </si>
  <si>
    <t>司法协助</t>
    <phoneticPr fontId="2" type="noConversion"/>
  </si>
  <si>
    <t>国际货物买卖法</t>
    <phoneticPr fontId="2" type="noConversion"/>
  </si>
  <si>
    <t>国际货物运输与保险法</t>
    <phoneticPr fontId="2" type="noConversion"/>
  </si>
  <si>
    <t>国际贸易支付</t>
    <phoneticPr fontId="2" type="noConversion"/>
  </si>
  <si>
    <t>对外贸易管理制度</t>
    <phoneticPr fontId="2" type="noConversion"/>
  </si>
  <si>
    <t>世界贸易组织</t>
    <phoneticPr fontId="2" type="noConversion"/>
  </si>
  <si>
    <t>国际经济领域的其他法律制度</t>
    <phoneticPr fontId="2" type="noConversion"/>
  </si>
  <si>
    <t>婚姻法</t>
    <phoneticPr fontId="2" type="noConversion"/>
  </si>
  <si>
    <t>继承法</t>
    <phoneticPr fontId="2" type="noConversion"/>
  </si>
  <si>
    <t>侵权责任</t>
    <phoneticPr fontId="2" type="noConversion"/>
  </si>
  <si>
    <t>商法篇</t>
    <phoneticPr fontId="2" type="noConversion"/>
  </si>
  <si>
    <t>个人独资企业法</t>
    <phoneticPr fontId="2" type="noConversion"/>
  </si>
  <si>
    <t>外商投资法律制度</t>
    <phoneticPr fontId="2" type="noConversion"/>
  </si>
  <si>
    <t>保险法</t>
    <phoneticPr fontId="2" type="noConversion"/>
  </si>
  <si>
    <t>海商法</t>
    <phoneticPr fontId="2" type="noConversion"/>
  </si>
  <si>
    <t>信托法</t>
    <phoneticPr fontId="2" type="noConversion"/>
  </si>
  <si>
    <t>经济法篇</t>
    <phoneticPr fontId="2" type="noConversion"/>
  </si>
  <si>
    <t>消费者法</t>
    <phoneticPr fontId="2" type="noConversion"/>
  </si>
  <si>
    <t>商业银行及银行业监督管理法</t>
    <phoneticPr fontId="2" type="noConversion"/>
  </si>
  <si>
    <t>*财税法</t>
    <phoneticPr fontId="2" type="noConversion"/>
  </si>
  <si>
    <t>土地和城市房地产管理法</t>
    <phoneticPr fontId="2" type="noConversion"/>
  </si>
  <si>
    <t>环境与自然资源法篇</t>
    <phoneticPr fontId="2" type="noConversion"/>
  </si>
  <si>
    <t>环境保护法</t>
    <phoneticPr fontId="2" type="noConversion"/>
  </si>
  <si>
    <t>森林法</t>
    <phoneticPr fontId="2" type="noConversion"/>
  </si>
  <si>
    <t>矿产资源法</t>
    <phoneticPr fontId="2" type="noConversion"/>
  </si>
  <si>
    <t>劳动与社会保障法篇</t>
    <phoneticPr fontId="2" type="noConversion"/>
  </si>
  <si>
    <t>社会保障法</t>
    <phoneticPr fontId="2" type="noConversion"/>
  </si>
  <si>
    <t>知识产权法篇</t>
    <phoneticPr fontId="2" type="noConversion"/>
  </si>
  <si>
    <t>著作权法</t>
    <phoneticPr fontId="2" type="noConversion"/>
  </si>
  <si>
    <t>专利法</t>
    <phoneticPr fontId="2" type="noConversion"/>
  </si>
  <si>
    <t>商标法</t>
    <phoneticPr fontId="2" type="noConversion"/>
  </si>
  <si>
    <t>知识产权诉讼保护</t>
    <phoneticPr fontId="2" type="noConversion"/>
  </si>
  <si>
    <t>商经剩余</t>
    <phoneticPr fontId="2" type="noConversion"/>
  </si>
  <si>
    <t>金融投资模块</t>
    <phoneticPr fontId="2" type="noConversion"/>
  </si>
  <si>
    <t>金融工具和保险合同</t>
    <phoneticPr fontId="2" type="noConversion"/>
  </si>
  <si>
    <t>金融资产市场会计-超级难点</t>
    <phoneticPr fontId="2" type="noConversion"/>
  </si>
  <si>
    <t>股权投资模块</t>
    <phoneticPr fontId="2" type="noConversion"/>
  </si>
  <si>
    <t>长期股权投资与合营安排</t>
    <phoneticPr fontId="2" type="noConversion"/>
  </si>
  <si>
    <t xml:space="preserve"> 我投资别的公司怎么办？</t>
    <phoneticPr fontId="2" type="noConversion"/>
  </si>
  <si>
    <t>企业集团模块</t>
    <phoneticPr fontId="2" type="noConversion"/>
  </si>
  <si>
    <t>企业合并</t>
    <phoneticPr fontId="2" type="noConversion"/>
  </si>
  <si>
    <t>买下一家公司后怎么办</t>
    <phoneticPr fontId="2" type="noConversion"/>
  </si>
  <si>
    <t>合并财务报表</t>
    <phoneticPr fontId="2" type="noConversion"/>
  </si>
  <si>
    <t>整个会计体系综合应用</t>
    <phoneticPr fontId="2" type="noConversion"/>
  </si>
  <si>
    <t>收入利润模块</t>
    <phoneticPr fontId="2" type="noConversion"/>
  </si>
  <si>
    <t>收入，费用，利润</t>
    <phoneticPr fontId="2" type="noConversion"/>
  </si>
  <si>
    <t>什么时候确认收入，什么时候确认费用。</t>
    <phoneticPr fontId="2" type="noConversion"/>
  </si>
  <si>
    <t>所得税</t>
    <phoneticPr fontId="2" type="noConversion"/>
  </si>
  <si>
    <t>单独慢慢学 - 会计利润VS税法利润 冲突和桥梁。影响所有高级章节。</t>
    <phoneticPr fontId="2" type="noConversion"/>
  </si>
  <si>
    <t>租赁</t>
    <phoneticPr fontId="2" type="noConversion"/>
  </si>
  <si>
    <t>使用权资产思维，租来的资产算不算资产。</t>
    <phoneticPr fontId="2" type="noConversion"/>
  </si>
  <si>
    <t>简单经营资产</t>
    <phoneticPr fontId="2" type="noConversion"/>
  </si>
  <si>
    <t>存货</t>
    <phoneticPr fontId="2" type="noConversion"/>
  </si>
  <si>
    <t>最基本流动资产</t>
    <phoneticPr fontId="2" type="noConversion"/>
  </si>
  <si>
    <t>固定资产</t>
    <phoneticPr fontId="2" type="noConversion"/>
  </si>
  <si>
    <t>无形资产</t>
    <phoneticPr fontId="2" type="noConversion"/>
  </si>
  <si>
    <t>无形的固定资产</t>
    <phoneticPr fontId="2" type="noConversion"/>
  </si>
  <si>
    <t>投资性房地产</t>
    <phoneticPr fontId="2" type="noConversion"/>
  </si>
  <si>
    <t>特殊用途房地产</t>
    <phoneticPr fontId="2" type="noConversion"/>
  </si>
  <si>
    <t>资产减值</t>
    <phoneticPr fontId="2" type="noConversion"/>
  </si>
  <si>
    <t>会计不是客观世界而是估值世界。资产系统修正器，资产系统补丁</t>
    <phoneticPr fontId="2" type="noConversion"/>
  </si>
  <si>
    <t>经营负债模块</t>
    <phoneticPr fontId="2" type="noConversion"/>
  </si>
  <si>
    <t>负债</t>
    <phoneticPr fontId="2" type="noConversion"/>
  </si>
  <si>
    <t>普通欠款</t>
  </si>
  <si>
    <t>资本模块</t>
    <phoneticPr fontId="2" type="noConversion"/>
  </si>
  <si>
    <t>所有者权益</t>
    <phoneticPr fontId="2" type="noConversion"/>
  </si>
  <si>
    <t>资产另一来源：股东投的钱。资产减负债后生什么。</t>
    <phoneticPr fontId="2" type="noConversion"/>
  </si>
  <si>
    <t>财报编制模块</t>
    <phoneticPr fontId="2" type="noConversion"/>
  </si>
  <si>
    <t>财务报告</t>
    <phoneticPr fontId="2" type="noConversion"/>
  </si>
  <si>
    <t>所有东西怎么进报表。</t>
    <phoneticPr fontId="2" type="noConversion"/>
  </si>
  <si>
    <t>借款费用</t>
    <phoneticPr fontId="2" type="noConversion"/>
  </si>
  <si>
    <t>欠银行钱</t>
  </si>
  <si>
    <t>或有事项</t>
    <phoneticPr fontId="2" type="noConversion"/>
  </si>
  <si>
    <t>未来可能欠钱</t>
  </si>
  <si>
    <t>员工激励模块</t>
    <phoneticPr fontId="2" type="noConversion"/>
  </si>
  <si>
    <t>职工薪酬</t>
    <phoneticPr fontId="2" type="noConversion"/>
  </si>
  <si>
    <t>欠员工的钱。</t>
    <phoneticPr fontId="2" type="noConversion"/>
  </si>
  <si>
    <t>股份支付</t>
    <phoneticPr fontId="2" type="noConversion"/>
  </si>
  <si>
    <t>用股权给员工发工资，所有者权益 + 职工薪酬 的混合系统</t>
    <phoneticPr fontId="2" type="noConversion"/>
  </si>
  <si>
    <t>每股收益</t>
    <phoneticPr fontId="2" type="noConversion"/>
  </si>
  <si>
    <t>股东赚了多少钱</t>
    <phoneticPr fontId="2" type="noConversion"/>
  </si>
  <si>
    <t>特殊交易模块</t>
    <phoneticPr fontId="2" type="noConversion"/>
  </si>
  <si>
    <t>政府补助</t>
    <phoneticPr fontId="2" type="noConversion"/>
  </si>
  <si>
    <t>政府给的钱进哪里</t>
    <phoneticPr fontId="2" type="noConversion"/>
  </si>
  <si>
    <t>债务重组</t>
    <phoneticPr fontId="2" type="noConversion"/>
  </si>
  <si>
    <t>债务谈判</t>
    <phoneticPr fontId="2" type="noConversion"/>
  </si>
  <si>
    <t>非货币性资产交换</t>
    <phoneticPr fontId="2" type="noConversion"/>
  </si>
  <si>
    <t>以物换物</t>
    <phoneticPr fontId="2" type="noConversion"/>
  </si>
  <si>
    <t>外币折算</t>
    <phoneticPr fontId="2" type="noConversion"/>
  </si>
  <si>
    <t>报表如何翻译</t>
  </si>
  <si>
    <t>持有待售的非流动资产，处置组和终止经营</t>
    <phoneticPr fontId="2" type="noConversion"/>
  </si>
  <si>
    <t>资产准备出售</t>
    <phoneticPr fontId="2" type="noConversion"/>
  </si>
  <si>
    <t>资产负债表日后事项</t>
    <phoneticPr fontId="2" type="noConversion"/>
  </si>
  <si>
    <t>报表截止后发生事情怎么办</t>
    <phoneticPr fontId="2" type="noConversion"/>
  </si>
  <si>
    <t>会计政策，会计估计及其变更和差错更正</t>
    <phoneticPr fontId="2" type="noConversion"/>
  </si>
  <si>
    <t>以前出错了怎么办，规则改了怎么办</t>
    <phoneticPr fontId="2" type="noConversion"/>
  </si>
  <si>
    <t>计量理论模块</t>
    <phoneticPr fontId="2" type="noConversion"/>
  </si>
  <si>
    <t>公允价值计量</t>
    <phoneticPr fontId="2" type="noConversion"/>
  </si>
  <si>
    <t>整个高级会计的“计量语言”，所有资产到底怎么估值。</t>
    <phoneticPr fontId="2" type="noConversion"/>
  </si>
  <si>
    <t>政府及民间非营利组织会计</t>
    <phoneticPr fontId="2" type="noConversion"/>
  </si>
  <si>
    <t>特殊主体</t>
    <phoneticPr fontId="2" type="noConversion"/>
  </si>
  <si>
    <t>第一层：认识企业（总入口）</t>
    <phoneticPr fontId="2" type="noConversion"/>
  </si>
  <si>
    <t>财务概述管理</t>
    <phoneticPr fontId="2" type="noConversion"/>
  </si>
  <si>
    <t>底层哲学，财管整个世界观：企业目标是什么？</t>
    <phoneticPr fontId="2" type="noConversion"/>
  </si>
  <si>
    <t>财务报表分析和财务预测</t>
    <phoneticPr fontId="2" type="noConversion"/>
  </si>
  <si>
    <t>观察企业现状（企业体检），企业现在经营得怎么样？</t>
    <phoneticPr fontId="2" type="noConversion"/>
  </si>
  <si>
    <t>价值评估基础</t>
    <phoneticPr fontId="2" type="noConversion"/>
  </si>
  <si>
    <t>钱有时间价值（财管第一原理）</t>
    <phoneticPr fontId="2" type="noConversion"/>
  </si>
  <si>
    <t>资本成本</t>
    <phoneticPr fontId="2" type="noConversion"/>
  </si>
  <si>
    <t>企业使用资金不是免费的。投资人要求回报</t>
    <phoneticPr fontId="2" type="noConversion"/>
  </si>
  <si>
    <t>期权价值评估</t>
    <phoneticPr fontId="2" type="noConversion"/>
  </si>
  <si>
    <t>“不确定性价值”，未来可能性本身有价值。开始进入金融学。</t>
    <phoneticPr fontId="2" type="noConversion"/>
  </si>
  <si>
    <t>投资项目资本预算</t>
    <phoneticPr fontId="2" type="noConversion"/>
  </si>
  <si>
    <t>一个项目值不值得投。
未来现金流是否大于现在投入</t>
    <phoneticPr fontId="2" type="noConversion"/>
  </si>
  <si>
    <t>企业价值评估</t>
    <phoneticPr fontId="2" type="noConversion"/>
  </si>
  <si>
    <t>整个企业值多少钱。未来现金流折现。投资世界入口</t>
    <phoneticPr fontId="2" type="noConversion"/>
  </si>
  <si>
    <t>第四层：融资决策（钱从哪里来）</t>
    <phoneticPr fontId="2" type="noConversion"/>
  </si>
  <si>
    <t>资本结构</t>
    <phoneticPr fontId="2" type="noConversion"/>
  </si>
  <si>
    <t>长期筹资</t>
    <phoneticPr fontId="2" type="noConversion"/>
  </si>
  <si>
    <t>企业融资方法</t>
    <phoneticPr fontId="2" type="noConversion"/>
  </si>
  <si>
    <t>股利分配股票分析股票回购</t>
    <phoneticPr fontId="2" type="noConversion"/>
  </si>
  <si>
    <t>企业赚的钱怎么处理。这直接影响：
股东价值</t>
    <phoneticPr fontId="2" type="noConversion"/>
  </si>
  <si>
    <t>第五层：企业日常经营管理（运营层）
这是：
企业每天怎么赚钱</t>
    <phoneticPr fontId="2" type="noConversion"/>
  </si>
  <si>
    <t>营运资本管理</t>
    <phoneticPr fontId="2" type="noConversion"/>
  </si>
  <si>
    <t>企业现金流怎么不断裂，企业别死在现金流</t>
    <phoneticPr fontId="2" type="noConversion"/>
  </si>
  <si>
    <t>产品成本计算</t>
    <phoneticPr fontId="2" type="noConversion"/>
  </si>
  <si>
    <t>产品到底成本多少</t>
  </si>
  <si>
    <t>标准成本法</t>
    <phoneticPr fontId="2" type="noConversion"/>
  </si>
  <si>
    <t>预算成本 vs 实际成本</t>
  </si>
  <si>
    <t>作业成本法</t>
    <phoneticPr fontId="2" type="noConversion"/>
  </si>
  <si>
    <t>更精细分摊成本</t>
  </si>
  <si>
    <t>本量利分析</t>
    <phoneticPr fontId="2" type="noConversion"/>
  </si>
  <si>
    <t>商业世界超级核心模型：销量
成本
利润
之间关系</t>
    <phoneticPr fontId="2" type="noConversion"/>
  </si>
  <si>
    <t>短期经营决策</t>
    <phoneticPr fontId="2" type="noConversion"/>
  </si>
  <si>
    <t>管理层现实决策</t>
  </si>
  <si>
    <t>全面预算</t>
    <phoneticPr fontId="2" type="noConversion"/>
  </si>
  <si>
    <t>企业年度经营计划</t>
  </si>
  <si>
    <t>责任会计</t>
    <phoneticPr fontId="2" type="noConversion"/>
  </si>
  <si>
    <t>谁负责什么</t>
  </si>
  <si>
    <t>业绩评价</t>
    <phoneticPr fontId="2" type="noConversion"/>
  </si>
  <si>
    <t>怎么考核管理层</t>
  </si>
  <si>
    <t>第三层：企业投资决策（钱投哪里）
这是：
企业未来增长核心</t>
    <phoneticPr fontId="2" type="noConversion"/>
  </si>
  <si>
    <t>第二层：价值世界（财管核心底层）
这是整个财管最重要层。</t>
    <phoneticPr fontId="2" type="noConversion"/>
  </si>
  <si>
    <t>会计</t>
    <phoneticPr fontId="2" type="noConversion"/>
  </si>
  <si>
    <t>财管</t>
    <phoneticPr fontId="2" type="noConversion"/>
  </si>
  <si>
    <t>审计概述</t>
    <phoneticPr fontId="2" type="noConversion"/>
  </si>
  <si>
    <t>审计业务的独立性要求</t>
    <phoneticPr fontId="2" type="noConversion"/>
  </si>
  <si>
    <t>审计证据</t>
    <phoneticPr fontId="2" type="noConversion"/>
  </si>
  <si>
    <t>审计抽样方法</t>
    <phoneticPr fontId="2" type="noConversion"/>
  </si>
  <si>
    <t>审计计划</t>
    <phoneticPr fontId="2" type="noConversion"/>
  </si>
  <si>
    <t>风险评估</t>
    <phoneticPr fontId="2" type="noConversion"/>
  </si>
  <si>
    <t>风险应对</t>
  </si>
  <si>
    <t>信息审计对审计的影响</t>
    <phoneticPr fontId="2" type="noConversion"/>
  </si>
  <si>
    <t>销售与收款循环的审计</t>
  </si>
  <si>
    <t>采购与付款环节的审计</t>
    <phoneticPr fontId="2" type="noConversion"/>
  </si>
  <si>
    <t>生产与存货循环的审计</t>
    <phoneticPr fontId="2" type="noConversion"/>
  </si>
  <si>
    <t>货币资金的审计</t>
    <phoneticPr fontId="2" type="noConversion"/>
  </si>
  <si>
    <t>对舞弊和法律法规的考虑</t>
    <phoneticPr fontId="2" type="noConversion"/>
  </si>
  <si>
    <t>审计沟通</t>
    <phoneticPr fontId="2" type="noConversion"/>
  </si>
  <si>
    <t>注会利用他人的工作</t>
    <phoneticPr fontId="2" type="noConversion"/>
  </si>
  <si>
    <t>对集团财报审计的特殊考虑</t>
    <phoneticPr fontId="2" type="noConversion"/>
  </si>
  <si>
    <t>其他特殊项目的审计</t>
    <phoneticPr fontId="2" type="noConversion"/>
  </si>
  <si>
    <t>完成审计工作</t>
    <phoneticPr fontId="2" type="noConversion"/>
  </si>
  <si>
    <t>审计报告</t>
    <phoneticPr fontId="2" type="noConversion"/>
  </si>
  <si>
    <t>审计工作底稿</t>
    <phoneticPr fontId="2" type="noConversion"/>
  </si>
  <si>
    <t>企业内部控制审计</t>
    <phoneticPr fontId="2" type="noConversion"/>
  </si>
  <si>
    <t>企业可持续信息鉴证</t>
    <phoneticPr fontId="2" type="noConversion"/>
  </si>
  <si>
    <t>会计师事务所业务质量管理</t>
    <phoneticPr fontId="2" type="noConversion"/>
  </si>
  <si>
    <t>税法总论</t>
    <phoneticPr fontId="2" type="noConversion"/>
  </si>
  <si>
    <t>增值税法</t>
    <phoneticPr fontId="2" type="noConversion"/>
  </si>
  <si>
    <t>企业所得税法</t>
    <phoneticPr fontId="2" type="noConversion"/>
  </si>
  <si>
    <t>消费税法</t>
    <phoneticPr fontId="2" type="noConversion"/>
  </si>
  <si>
    <t>个人所得税法</t>
    <phoneticPr fontId="2" type="noConversion"/>
  </si>
  <si>
    <t>城市维护建设税法和烟叶税法</t>
    <phoneticPr fontId="2" type="noConversion"/>
  </si>
  <si>
    <t>关税法和船舶吨税法</t>
    <phoneticPr fontId="2" type="noConversion"/>
  </si>
  <si>
    <t>资源税法和环境保护税法</t>
    <phoneticPr fontId="2" type="noConversion"/>
  </si>
  <si>
    <t>城镇土地使用税法和耕地占用税法</t>
    <phoneticPr fontId="2" type="noConversion"/>
  </si>
  <si>
    <t>房产税法、契税法和土地增值税法</t>
    <phoneticPr fontId="2" type="noConversion"/>
  </si>
  <si>
    <t>车辆购置税法、车船税法和印花税法</t>
    <phoneticPr fontId="2" type="noConversion"/>
  </si>
  <si>
    <t>国际税收税务管理实务</t>
    <phoneticPr fontId="2" type="noConversion"/>
  </si>
  <si>
    <t>税收征收管理法</t>
    <phoneticPr fontId="2" type="noConversion"/>
  </si>
  <si>
    <t>税务行政法制</t>
    <phoneticPr fontId="2" type="noConversion"/>
  </si>
  <si>
    <t>战略与战略管理概述</t>
    <phoneticPr fontId="2" type="noConversion"/>
  </si>
  <si>
    <t>战略分析</t>
    <phoneticPr fontId="2" type="noConversion"/>
  </si>
  <si>
    <t>战略选择</t>
    <phoneticPr fontId="2" type="noConversion"/>
  </si>
  <si>
    <t>战略实施</t>
    <phoneticPr fontId="2" type="noConversion"/>
  </si>
  <si>
    <t>公司治理</t>
    <phoneticPr fontId="2" type="noConversion"/>
  </si>
  <si>
    <t>风险与风险管理概述</t>
    <phoneticPr fontId="2" type="noConversion"/>
  </si>
  <si>
    <t>风险管理的流程体系方法</t>
    <phoneticPr fontId="2" type="noConversion"/>
  </si>
  <si>
    <t>企业面对的主要风险与应对</t>
    <phoneticPr fontId="2" type="noConversion"/>
  </si>
  <si>
    <t>审计</t>
    <phoneticPr fontId="2" type="noConversion"/>
  </si>
  <si>
    <t>战略</t>
    <phoneticPr fontId="2" type="noConversion"/>
  </si>
  <si>
    <t>民法基本原理</t>
    <phoneticPr fontId="2" type="noConversion"/>
  </si>
  <si>
    <t>基本民事法律制度</t>
    <phoneticPr fontId="2" type="noConversion"/>
  </si>
  <si>
    <t>合同法律制度</t>
    <phoneticPr fontId="2" type="noConversion"/>
  </si>
  <si>
    <t>物权法律制度</t>
    <phoneticPr fontId="2" type="noConversion"/>
  </si>
  <si>
    <t>公司法律制度</t>
    <phoneticPr fontId="2" type="noConversion"/>
  </si>
  <si>
    <t>合伙企业法律制度</t>
    <phoneticPr fontId="2" type="noConversion"/>
  </si>
  <si>
    <t>证券法律制度</t>
    <phoneticPr fontId="2" type="noConversion"/>
  </si>
  <si>
    <t>企业破产法律制度</t>
    <phoneticPr fontId="2" type="noConversion"/>
  </si>
  <si>
    <t>票据与支付结算法律制度</t>
    <phoneticPr fontId="2" type="noConversion"/>
  </si>
  <si>
    <t>反垄断法律制度</t>
    <phoneticPr fontId="2" type="noConversion"/>
  </si>
  <si>
    <t>企业国有资产法律制度</t>
    <phoneticPr fontId="2" type="noConversion"/>
  </si>
  <si>
    <t>涉外经济法律制度</t>
    <phoneticPr fontId="2" type="noConversion"/>
  </si>
  <si>
    <t>民法剩余</t>
    <phoneticPr fontId="2" type="noConversion"/>
  </si>
  <si>
    <t>经济法&amp;民商经</t>
    <phoneticPr fontId="2" type="noConversion"/>
  </si>
  <si>
    <t>债务和股权怎么搭配。负债多风险高但回报可能更高</t>
    <phoneticPr fontId="2" type="noConversion"/>
  </si>
  <si>
    <t>职业道德</t>
    <phoneticPr fontId="2" type="noConversion"/>
  </si>
  <si>
    <t>080612 电气工程及其自动化（旧）</t>
    <phoneticPr fontId="2" type="noConversion"/>
  </si>
  <si>
    <t>080601 电气工程及其自动化（2027年7月以后替代课程）</t>
    <phoneticPr fontId="2" type="noConversion"/>
  </si>
  <si>
    <t>华北水利水电大学</t>
  </si>
  <si>
    <t>15040 习近平新时代中国特色社会主义思想 概论 3 笔试</t>
    <phoneticPr fontId="2" type="noConversion"/>
  </si>
  <si>
    <t>15043 中国近现代史纲要 3 笔试</t>
    <phoneticPr fontId="2" type="noConversion"/>
  </si>
  <si>
    <t>15044 马克思主义基本原理 3 笔试</t>
    <phoneticPr fontId="2" type="noConversion"/>
  </si>
  <si>
    <t>00023 高等数学（工本） 10 笔试</t>
    <phoneticPr fontId="2" type="noConversion"/>
  </si>
  <si>
    <t>00015 英语（二）</t>
  </si>
  <si>
    <t>13000 英语（专升本） 7 笔试</t>
    <phoneticPr fontId="2" type="noConversion"/>
  </si>
  <si>
    <t>08246 远动控制系统</t>
    <phoneticPr fontId="2" type="noConversion"/>
  </si>
  <si>
    <t>13175 线性代数（工） 3 笔试</t>
    <phoneticPr fontId="2" type="noConversion"/>
  </si>
  <si>
    <t>07326 计算机软件技术基础</t>
    <phoneticPr fontId="2" type="noConversion"/>
  </si>
  <si>
    <t>04737 C++程序设计 3 笔试</t>
    <phoneticPr fontId="2" type="noConversion"/>
  </si>
  <si>
    <t>04738 C++程序设计（实践） 2 实践</t>
  </si>
  <si>
    <t>14745 自动控制原理（本） 5 笔试</t>
    <phoneticPr fontId="2" type="noConversion"/>
  </si>
  <si>
    <t>14746 自动控制原理（本）（实践） 1 实践</t>
  </si>
  <si>
    <t>02310 电力系统分析</t>
  </si>
  <si>
    <t>13453 电力系统分析 3 笔试</t>
    <phoneticPr fontId="2" type="noConversion"/>
  </si>
  <si>
    <t>13454 电力系统分析（实践） 3 实践</t>
    <phoneticPr fontId="2" type="noConversion"/>
  </si>
  <si>
    <t>本课程是该专业的基础课，主要学习电力系统的基本概念、电力系统元件的特性和数学模型、简单电力网络的计算和分析，电力系统的有功功率和频率调整、电力系统的无功功率和电压调整、电力系统故障分析的基本知识、电力系统三相短路的实用计算、对称分量法、不对称故障的分析计算、电力系统静态稳定、电力系统暂态稳定。通过本课程的学习，使考生掌握数学、自然科学和工程科学的基本原理，提升对复杂电气工程问题的关键环节辨别和判断的能力。</t>
  </si>
  <si>
    <t>02358 单片机原理及应用
02359 单片机原理及应用（实践）</t>
    <phoneticPr fontId="2" type="noConversion"/>
  </si>
  <si>
    <t>01644 单片机原理与接口技术 4 笔试</t>
    <phoneticPr fontId="2" type="noConversion"/>
  </si>
  <si>
    <t>01645 单片机原理与接口技术（实践） 2 实践</t>
  </si>
  <si>
    <t>本课程是该专业的基础课，主要学习电气工程及其自动化专业的特点，介绍 MCS-51 系列单片机的构成、工作原理、指令系统、汇编语言程序设计、中断技术、定时/计数器、串行口通信等内容，并结合应用实际。通过本课程的学习，使考生掌握MCS-51系列单片机的扩展技术、存储器扩展、I/O 口扩展、显示器与键盘接口、A/D 及 D/A 接口技术，提升考生单片机应用开发方面的技能，具备从事相关工作的实践应用能力。</t>
  </si>
  <si>
    <t>14411 现代电力电子技术 3 笔试</t>
    <phoneticPr fontId="2" type="noConversion"/>
  </si>
  <si>
    <t>14412 现代电力电子技术（实践） 1 实践</t>
  </si>
  <si>
    <t>本课程是该专业的基础课，主要学习使用电力电子器件对电能进行变换和控制的技术，包括电力电子器件、电力电子电路、电力电子系统及其控制三部分，重点学习电能变换电路的基本工作原理。通过本课程的学习，使考生掌握各种主要的电力半导体器件的基本原理、特性及参数，AC/DC 变换、DC/DC 变换、DC/AC变换、AC/AC 变换等技术的主电路基本原理及主要变换方法，熟悉各种变换的控制方法等，提升现代电力电子技术的应用能力。</t>
  </si>
  <si>
    <t>08244 现代控制工程</t>
    <phoneticPr fontId="2" type="noConversion"/>
  </si>
  <si>
    <t>13459 电力系统自动装置（本） 3 笔试</t>
    <phoneticPr fontId="2" type="noConversion"/>
  </si>
  <si>
    <t>13460 电力系统自动装置（本）（实践） 3 实践</t>
    <phoneticPr fontId="2" type="noConversion"/>
  </si>
  <si>
    <t>本课程是该专业的专业课，主要学习自动装置及其数据的采集处理、同步发电机的自动并列、同步发电机励磁自动控制系统、励磁自动控制系统的动态特性、电力系统频率及有功功率的自动调节、电力系统自动低频减载及其他安全自动控制装置。通过本课程的学习，使考生能根据电力系统自动装置的特性选择研究路线、设计实验方案，提升从事电力系统自动控制工作能力。</t>
  </si>
  <si>
    <t>03804 发电厂电气部分 4 笔试</t>
    <phoneticPr fontId="2" type="noConversion"/>
  </si>
  <si>
    <t>03805 发电厂电气部分（实践） 2 实践</t>
  </si>
  <si>
    <t>本课程是该专业的专业课，主要学习导体的发热，电动力及开关电器的灭弧原理，电气设备的结构和工作原理，电气主接线，厂（站）用电，电气设备的选择，配电装置，电力系统中性点接地方式，接地装置，发电厂和变电站电气二次回路，电力变压器的运行等。通过本课程的学习，使考生掌握应用发电厂电气部分 122 的专业知识，推演、分析各类发电厂（变电所）中电气部分实际工程问题。</t>
  </si>
  <si>
    <t>13455 电力系统继电保护（本） 3 笔试</t>
    <phoneticPr fontId="2" type="noConversion"/>
  </si>
  <si>
    <t>13456 电力系统继电保护（本）（实践） 2 实践</t>
  </si>
  <si>
    <t>本课程是该专业的专业课，主要学习电力系统继电保护的基本概念、原理和分析方法和对电力系统继电保护的认识。通过本课程的学习，使考生掌握电力线路、变压器、母线、发电机等设备的电流电压保护、距离保护、纵联保护、自动重合闸的分析、计算、调整的技能，提升考生故障分析、继电保护计算分析、设计能力。</t>
  </si>
  <si>
    <t>07999 毕业设计 0 实践必考</t>
  </si>
  <si>
    <t>函数</t>
  </si>
  <si>
    <t>概率论</t>
  </si>
  <si>
    <t>概率
条件概率
贝叶斯
随机变量
期望
方差</t>
    <phoneticPr fontId="2" type="noConversion"/>
  </si>
  <si>
    <t>统计学</t>
  </si>
  <si>
    <t>《统计学》（贾俊平版）</t>
  </si>
  <si>
    <t>线性代数</t>
  </si>
  <si>
    <t>向量
矩阵
线性变换</t>
    <phoneticPr fontId="2" type="noConversion"/>
  </si>
  <si>
    <t>优化</t>
  </si>
  <si>
    <t>机器学习</t>
  </si>
  <si>
    <t>量化金融</t>
  </si>
  <si>
    <t>1. 强化：</t>
  </si>
  <si>
    <t>2. 学两门工程核心思想：</t>
  </si>
  <si>
    <t>3. 然后直接进入：</t>
  </si>
  <si>
    <t>微积分</t>
  </si>
  <si>
    <t>控制理论</t>
  </si>
  <si>
    <t>👉 金融建模 / 量化交易</t>
  </si>
  <si>
    <t>信号处理</t>
  </si>
  <si>
    <t>概率 + 动态系统</t>
  </si>
  <si>
    <t>系统控制思维</t>
  </si>
  <si>
    <t>数学建模能力</t>
  </si>
  <si>
    <t>高平铁佛寺</t>
    <phoneticPr fontId="2" type="noConversion"/>
  </si>
  <si>
    <t>五台山</t>
    <phoneticPr fontId="2" type="noConversion"/>
  </si>
  <si>
    <t>蓝田县水陆庵</t>
    <phoneticPr fontId="2" type="noConversion"/>
  </si>
  <si>
    <t>古蜀道-金牛古道</t>
    <phoneticPr fontId="2" type="noConversion"/>
  </si>
  <si>
    <t>大足石刻</t>
    <phoneticPr fontId="2" type="noConversion"/>
  </si>
  <si>
    <t>安岳石刻群</t>
    <phoneticPr fontId="2" type="noConversion"/>
  </si>
  <si>
    <t>广元石窟</t>
    <phoneticPr fontId="2" type="noConversion"/>
  </si>
  <si>
    <t>巴中石窟</t>
    <phoneticPr fontId="2" type="noConversion"/>
  </si>
  <si>
    <t>神农架</t>
    <phoneticPr fontId="2" type="noConversion"/>
  </si>
  <si>
    <t>武当山</t>
    <phoneticPr fontId="2" type="noConversion"/>
  </si>
  <si>
    <t>财务会计与财务分析</t>
  </si>
  <si>
    <t>企业经营分析</t>
  </si>
  <si>
    <t>财务舞弊识别</t>
  </si>
  <si>
    <t>财务建模</t>
  </si>
  <si>
    <t>收入操纵</t>
  </si>
  <si>
    <t>三表联动</t>
  </si>
  <si>
    <t>利润调节</t>
  </si>
  <si>
    <t>预算模型</t>
  </si>
  <si>
    <t>关联交易</t>
  </si>
  <si>
    <t>敏感性分析</t>
  </si>
  <si>
    <t>现金流分析</t>
  </si>
  <si>
    <t>表外负债</t>
  </si>
  <si>
    <t>情景分析</t>
  </si>
  <si>
    <t>财报拆解库50份以上</t>
    <phoneticPr fontId="2" type="noConversion"/>
  </si>
  <si>
    <t>财务模型库</t>
  </si>
  <si>
    <t>腾讯财报拆解</t>
  </si>
  <si>
    <t>制造业模型</t>
  </si>
  <si>
    <t>比亚迪财报拆解</t>
  </si>
  <si>
    <t>SaaS模型</t>
  </si>
  <si>
    <t>贵州茅台财报拆解</t>
  </si>
  <si>
    <t>房地产模型</t>
  </si>
  <si>
    <t>银行模型</t>
  </si>
  <si>
    <t>税务体系</t>
  </si>
  <si>
    <t>中国税制全景</t>
  </si>
  <si>
    <t>税务风险</t>
  </si>
  <si>
    <t>企业重组税务</t>
  </si>
  <si>
    <t>国际税收</t>
  </si>
  <si>
    <t>增值税</t>
  </si>
  <si>
    <t>发票风险</t>
  </si>
  <si>
    <t>合并</t>
  </si>
  <si>
    <t>税收协定</t>
  </si>
  <si>
    <t>企业所得税</t>
  </si>
  <si>
    <t>分立</t>
  </si>
  <si>
    <t>CRS</t>
  </si>
  <si>
    <t>个人所得税</t>
  </si>
  <si>
    <t>反避税</t>
  </si>
  <si>
    <t>股权转让</t>
  </si>
  <si>
    <t>BEPS</t>
  </si>
  <si>
    <t>土地增值税</t>
  </si>
  <si>
    <t>转让定价</t>
  </si>
  <si>
    <t>资产转让</t>
  </si>
  <si>
    <t>全球最低税</t>
  </si>
  <si>
    <t>契税</t>
  </si>
  <si>
    <t>印花税</t>
  </si>
  <si>
    <t>税务案例库</t>
  </si>
  <si>
    <t>税务风险手册</t>
  </si>
  <si>
    <t>300案例</t>
  </si>
  <si>
    <t>《制造业税务风险100条》</t>
  </si>
  <si>
    <t>法律体系</t>
  </si>
  <si>
    <t>商法</t>
  </si>
  <si>
    <t>民诉</t>
  </si>
  <si>
    <t>合同</t>
  </si>
  <si>
    <t>诉讼策略</t>
  </si>
  <si>
    <t>职务犯罪</t>
  </si>
  <si>
    <t>担保</t>
  </si>
  <si>
    <t>证据规则</t>
  </si>
  <si>
    <t>经济犯罪</t>
  </si>
  <si>
    <t>侵权</t>
  </si>
  <si>
    <t>破产法</t>
  </si>
  <si>
    <t>法律案例库</t>
  </si>
  <si>
    <t>法律意见书库</t>
  </si>
  <si>
    <t>500案例</t>
  </si>
  <si>
    <t>《股权代持法律意见》</t>
  </si>
  <si>
    <t>《对赌协议法律分析》</t>
  </si>
  <si>
    <t>公司治理与资本运作</t>
  </si>
  <si>
    <t>公司治理</t>
  </si>
  <si>
    <t>投融资</t>
  </si>
  <si>
    <t>并购重组</t>
  </si>
  <si>
    <t>上市体系</t>
  </si>
  <si>
    <t>股权结构</t>
  </si>
  <si>
    <t>股权融资</t>
  </si>
  <si>
    <t>IPO</t>
  </si>
  <si>
    <t>董事会</t>
  </si>
  <si>
    <t>债务融资</t>
  </si>
  <si>
    <t>再融资</t>
  </si>
  <si>
    <t>控制权设计</t>
  </si>
  <si>
    <t>经典案例研究</t>
  </si>
  <si>
    <t>企业分析库</t>
  </si>
  <si>
    <t>Alibaba Group 合伙人制度</t>
  </si>
  <si>
    <t>Xiaomi 同股不同权</t>
  </si>
  <si>
    <t>商业模式</t>
  </si>
  <si>
    <t>竞争战略</t>
  </si>
  <si>
    <t>产业链分析</t>
  </si>
  <si>
    <t>商业史</t>
  </si>
  <si>
    <t>成本领先</t>
  </si>
  <si>
    <t>平台</t>
  </si>
  <si>
    <t>差异化</t>
  </si>
  <si>
    <t>SaaS</t>
  </si>
  <si>
    <t>护城河</t>
  </si>
  <si>
    <t>制造业</t>
  </si>
  <si>
    <t>零售</t>
  </si>
  <si>
    <t>行业研究</t>
  </si>
  <si>
    <t>重点行业：</t>
  </si>
  <si>
    <t>AI</t>
  </si>
  <si>
    <t>半导体</t>
  </si>
  <si>
    <t>新能源</t>
  </si>
  <si>
    <t>医药</t>
  </si>
  <si>
    <t>军工</t>
  </si>
  <si>
    <t>消费</t>
  </si>
  <si>
    <t>金融</t>
  </si>
  <si>
    <t>能源</t>
  </si>
  <si>
    <t>有色金属</t>
  </si>
  <si>
    <t>机器人</t>
  </si>
  <si>
    <t>行业研究库</t>
  </si>
  <si>
    <t>50份行业报告</t>
  </si>
  <si>
    <t>投资研究体系</t>
  </si>
  <si>
    <t>地缘政治与战略资源</t>
  </si>
  <si>
    <t>知识管理与表达</t>
  </si>
  <si>
    <t>宏观经济</t>
  </si>
  <si>
    <t>全球权力结构</t>
  </si>
  <si>
    <t>内容体系</t>
  </si>
  <si>
    <t>能源体系</t>
  </si>
  <si>
    <t>写作</t>
  </si>
  <si>
    <t>粮食体系</t>
  </si>
  <si>
    <t>演讲</t>
  </si>
  <si>
    <t>稀土体系</t>
  </si>
  <si>
    <t>视频表达</t>
  </si>
  <si>
    <t>股票研究</t>
  </si>
  <si>
    <t>芯片体系</t>
  </si>
  <si>
    <t>AI工具</t>
  </si>
  <si>
    <t>债券研究</t>
  </si>
  <si>
    <t>海运体系</t>
  </si>
  <si>
    <t>知识管理</t>
  </si>
  <si>
    <t>商品研究</t>
  </si>
  <si>
    <t>军事体系</t>
  </si>
  <si>
    <t>全球资产配置</t>
  </si>
  <si>
    <t>行为金融</t>
  </si>
  <si>
    <t>投资备忘录库</t>
  </si>
  <si>
    <t>全球战略资源图谱</t>
  </si>
  <si>
    <t>视频库</t>
  </si>
  <si>
    <t>目标：100份</t>
    <phoneticPr fontId="2" type="noConversion"/>
  </si>
  <si>
    <t>国家研究报告</t>
  </si>
  <si>
    <t>文章库</t>
  </si>
  <si>
    <t>投资日志</t>
  </si>
  <si>
    <t>课程库</t>
  </si>
  <si>
    <t>持续记录</t>
  </si>
  <si>
    <t>美国</t>
  </si>
  <si>
    <t>知识图谱库</t>
  </si>
  <si>
    <t>中国</t>
  </si>
  <si>
    <t>印度</t>
  </si>
  <si>
    <t>沙特</t>
  </si>
  <si>
    <t>企业盈利能力分析</t>
  </si>
  <si>
    <t>成本分析</t>
  </si>
  <si>
    <t>财务风险分析</t>
  </si>
  <si>
    <t>企业估值</t>
  </si>
  <si>
    <t>DCF</t>
  </si>
  <si>
    <t>可比公司法</t>
  </si>
  <si>
    <t>EV/EBITDA</t>
  </si>
  <si>
    <t>PE估值</t>
  </si>
  <si>
    <t>估值模型</t>
  </si>
  <si>
    <t>分类整理形成数据库</t>
    <phoneticPr fontId="2" type="noConversion"/>
  </si>
  <si>
    <t>行政法刑法（商业相关）</t>
    <phoneticPr fontId="2" type="noConversion"/>
  </si>
  <si>
    <t>事业</t>
    <phoneticPr fontId="2" type="noConversion"/>
  </si>
  <si>
    <t>生活</t>
    <phoneticPr fontId="2" type="noConversion"/>
  </si>
  <si>
    <t>备考</t>
    <phoneticPr fontId="2" type="noConversion"/>
  </si>
  <si>
    <t xml:space="preserve">健康 </t>
    <phoneticPr fontId="2" type="noConversion"/>
  </si>
  <si>
    <t>精力</t>
    <phoneticPr fontId="2" type="noConversion"/>
  </si>
  <si>
    <t>眼睛</t>
    <phoneticPr fontId="2" type="noConversion"/>
  </si>
  <si>
    <t>健身</t>
    <phoneticPr fontId="2" type="noConversion"/>
  </si>
  <si>
    <t>戒烟酒</t>
    <phoneticPr fontId="2" type="noConversion"/>
  </si>
  <si>
    <t>大力量</t>
    <phoneticPr fontId="2" type="noConversion"/>
  </si>
  <si>
    <t>小力量</t>
    <phoneticPr fontId="2" type="noConversion"/>
  </si>
  <si>
    <t>有氧</t>
    <phoneticPr fontId="2" type="noConversion"/>
  </si>
  <si>
    <t>俯卧撑</t>
    <phoneticPr fontId="2" type="noConversion"/>
  </si>
  <si>
    <t>跳绳</t>
    <phoneticPr fontId="2" type="noConversion"/>
  </si>
  <si>
    <t>早睡早起</t>
    <phoneticPr fontId="2" type="noConversion"/>
  </si>
  <si>
    <t>深蹲</t>
    <phoneticPr fontId="2" type="noConversion"/>
  </si>
  <si>
    <t>手腕握力</t>
    <phoneticPr fontId="2" type="noConversion"/>
  </si>
  <si>
    <t>保持愉悦</t>
    <phoneticPr fontId="2" type="noConversion"/>
  </si>
  <si>
    <t>戒断胡思乱想</t>
    <phoneticPr fontId="2" type="noConversion"/>
  </si>
  <si>
    <t>引体向上</t>
    <phoneticPr fontId="2" type="noConversion"/>
  </si>
  <si>
    <t>腰部-平板支撑</t>
    <phoneticPr fontId="2" type="noConversion"/>
  </si>
  <si>
    <t>爬楼梯</t>
    <phoneticPr fontId="2" type="noConversion"/>
  </si>
  <si>
    <t>改善睡眠质量</t>
    <phoneticPr fontId="2" type="noConversion"/>
  </si>
  <si>
    <t>不戴镜生活</t>
    <phoneticPr fontId="2" type="noConversion"/>
  </si>
  <si>
    <t>臂力棒</t>
    <phoneticPr fontId="2" type="noConversion"/>
  </si>
  <si>
    <t>脚踝刚性</t>
    <phoneticPr fontId="2" type="noConversion"/>
  </si>
  <si>
    <t>开合跳</t>
    <phoneticPr fontId="2" type="noConversion"/>
  </si>
  <si>
    <t>戒断咖啡因</t>
    <phoneticPr fontId="2" type="noConversion"/>
  </si>
  <si>
    <t>调节力训练</t>
    <phoneticPr fontId="2" type="noConversion"/>
  </si>
  <si>
    <t>腹肌轮</t>
    <phoneticPr fontId="2" type="noConversion"/>
  </si>
  <si>
    <t>颈部</t>
    <phoneticPr fontId="2" type="noConversion"/>
  </si>
  <si>
    <t>跑步</t>
    <phoneticPr fontId="2" type="noConversion"/>
  </si>
  <si>
    <t>臂屈伸</t>
    <phoneticPr fontId="2" type="noConversion"/>
  </si>
  <si>
    <t>肩部</t>
    <phoneticPr fontId="2" type="noConversion"/>
  </si>
  <si>
    <t>不平衡训练</t>
    <phoneticPr fontId="2" type="noConversion"/>
  </si>
  <si>
    <t>CPA考试过程</t>
    <phoneticPr fontId="2" type="noConversion"/>
  </si>
  <si>
    <t>法考客观考试过程</t>
    <phoneticPr fontId="2" type="noConversion"/>
  </si>
  <si>
    <t>法考主观备考过程</t>
    <phoneticPr fontId="2" type="noConversion"/>
  </si>
  <si>
    <t>顺便考中级感受</t>
    <phoneticPr fontId="2" type="noConversion"/>
  </si>
  <si>
    <t>顺便考税务师感受</t>
    <phoneticPr fontId="2" type="noConversion"/>
  </si>
  <si>
    <t>交易员版数学体系</t>
  </si>
  <si>
    <t>不是数学专业版。</t>
  </si>
  <si>
    <t>第一层：统计学（最重要）</t>
  </si>
  <si>
    <t>这个对你未来价值最大。</t>
  </si>
  <si>
    <t>学什么</t>
  </si>
  <si>
    <t>1 平均数</t>
  </si>
  <si>
    <t>算术平均数</t>
  </si>
  <si>
    <t>加权平均数</t>
  </si>
  <si>
    <t>几何平均数</t>
  </si>
  <si>
    <t>2 离散程度</t>
  </si>
  <si>
    <t>极差</t>
  </si>
  <si>
    <t>方差</t>
  </si>
  <si>
    <t>标准差</t>
  </si>
  <si>
    <t>变异系数</t>
  </si>
  <si>
    <t>3 正态分布</t>
  </si>
  <si>
    <t>这是未来量化核心。</t>
  </si>
  <si>
    <t>理解：</t>
  </si>
  <si>
    <t>身高分布</t>
  </si>
  <si>
    <t>收益率分布</t>
  </si>
  <si>
    <t>风险分布</t>
  </si>
  <si>
    <t>都从这里开始。</t>
  </si>
  <si>
    <t>4 Z-score</t>
  </si>
  <si>
    <t>标准化</t>
  </si>
  <si>
    <t>以后：</t>
  </si>
  <si>
    <t>财务异常分析</t>
  </si>
  <si>
    <t>量化选股</t>
  </si>
  <si>
    <t>全用得到。</t>
  </si>
  <si>
    <t>5 相关系数</t>
  </si>
  <si>
    <t>非常重要。</t>
  </si>
  <si>
    <t>黄金上涨</t>
  </si>
  <si>
    <t>美元下跌</t>
  </si>
  <si>
    <t>这是什么关系？</t>
  </si>
  <si>
    <t>相关系数。</t>
  </si>
  <si>
    <t>6 回归分析</t>
  </si>
  <si>
    <t>这是未来量化的第一块砖。</t>
  </si>
  <si>
    <t>Y=a+bX</t>
  </si>
  <si>
    <t>即可。</t>
  </si>
  <si>
    <t>不用学复杂推导。</t>
  </si>
  <si>
    <t>收益：</t>
  </si>
  <si>
    <t>CPA财管 + 公考 + 量化</t>
  </si>
  <si>
    <t>全部覆盖。</t>
  </si>
  <si>
    <t>第二层：概率论</t>
  </si>
  <si>
    <t>比统计学稍弱一点。</t>
  </si>
  <si>
    <t>但公考和量化必须有。</t>
  </si>
  <si>
    <t>古典概率</t>
  </si>
  <si>
    <t>掷骰子</t>
  </si>
  <si>
    <t>抽牌</t>
  </si>
  <si>
    <t>排列组合</t>
  </si>
  <si>
    <t>条件概率</t>
  </si>
  <si>
    <t>以后机器学习也大量出现。</t>
  </si>
  <si>
    <t>贝叶斯思想</t>
  </si>
  <si>
    <t>不用公式。</t>
  </si>
  <si>
    <t>只理解：</t>
  </si>
  <si>
    <t>新信息出现后更新判断。</t>
  </si>
  <si>
    <t>这是交易员思维核心。</t>
  </si>
  <si>
    <t>期望值</t>
  </si>
  <si>
    <t>这是重点。</t>
  </si>
  <si>
    <t>赚100概率60%</t>
  </si>
  <si>
    <t>亏50概率40%</t>
  </si>
  <si>
    <t>期望：</t>
  </si>
  <si>
    <t>60%-100+40%-50</t>
  </si>
  <si>
    <t>未来所有投资都建立在这个思想上。</t>
  </si>
  <si>
    <t>第三层：函数思想</t>
  </si>
  <si>
    <t>这是你目前最缺的。</t>
  </si>
  <si>
    <t>你学会计时经常问：</t>
  </si>
  <si>
    <t>为什么增加？</t>
  </si>
  <si>
    <t>为什么减少？</t>
  </si>
  <si>
    <t>为什么变化？</t>
  </si>
  <si>
    <t>其实本质就是函数。</t>
  </si>
  <si>
    <t>价格上涨</t>
  </si>
  <si>
    <t>销量下降</t>
  </si>
  <si>
    <t>利润变化</t>
  </si>
  <si>
    <t>这就是函数。</t>
  </si>
  <si>
    <t>学：</t>
  </si>
  <si>
    <t>一次函数</t>
  </si>
  <si>
    <t>二次函数</t>
  </si>
  <si>
    <t>指数函数</t>
  </si>
  <si>
    <t>对数函数</t>
  </si>
  <si>
    <t>以后量化必学。</t>
  </si>
  <si>
    <t>复利就是指数。</t>
  </si>
  <si>
    <t>genui{"algebra_functions_learning_block":{"type_id":"GRAPHABLE_FUNCTION","content":"y=e^x"}}</t>
  </si>
  <si>
    <t>看到这个曲线后，你会明白：</t>
  </si>
  <si>
    <t>为什么巴菲特说：</t>
  </si>
  <si>
    <t>财富增长靠复利。</t>
  </si>
  <si>
    <t>第四层：线性代数（只学20%）</t>
  </si>
  <si>
    <t>很多人上来就学矩阵。</t>
  </si>
  <si>
    <t>其实没必要。</t>
  </si>
  <si>
    <t>未来你真正需要的是：</t>
  </si>
  <si>
    <t>向量</t>
  </si>
  <si>
    <t>方向+大小</t>
  </si>
  <si>
    <t>矩阵</t>
  </si>
  <si>
    <t>数据表</t>
  </si>
  <si>
    <t>变换工具</t>
  </si>
  <si>
    <t>学到这里就够支撑：</t>
  </si>
  <si>
    <t>数据分析</t>
  </si>
  <si>
    <t>入门。</t>
  </si>
  <si>
    <t>第五层：财务数学</t>
  </si>
  <si>
    <t>这个对你当前CPA帮助最大。</t>
  </si>
  <si>
    <t>单利</t>
  </si>
  <si>
    <t>复利</t>
  </si>
  <si>
    <t>年金</t>
  </si>
  <si>
    <t>现值</t>
  </si>
  <si>
    <t>终值</t>
  </si>
  <si>
    <t>折现率</t>
  </si>
  <si>
    <t>IRR</t>
  </si>
  <si>
    <t>NPV</t>
  </si>
  <si>
    <t>其实就是财管前半本。</t>
  </si>
  <si>
    <t>学完直接反哺CPA财管。</t>
  </si>
  <si>
    <t>哪些不要学</t>
  </si>
  <si>
    <t>未来一年内：</t>
  </si>
  <si>
    <t>不要碰：</t>
  </si>
  <si>
    <t>极限</t>
  </si>
  <si>
    <t>导数证明</t>
  </si>
  <si>
    <t>微分方程</t>
  </si>
  <si>
    <t>多元积分</t>
  </si>
  <si>
    <t>曲面积分</t>
  </si>
  <si>
    <t>拉普拉斯变换</t>
  </si>
  <si>
    <t>这些属于：</t>
  </si>
  <si>
    <t>数学专业路线。</t>
  </si>
  <si>
    <t>不是交易路线。</t>
  </si>
  <si>
    <t>如果是你</t>
  </si>
  <si>
    <t>结合你当前目标：</t>
  </si>
  <si>
    <t>CPA + 法考 + 公考（2026）</t>
  </si>
  <si>
    <t>我会这样安排：</t>
  </si>
  <si>
    <t>每天</t>
  </si>
  <si>
    <t>CPA/法考主线 6小时</t>
  </si>
  <si>
    <t>数学副线 30分钟</t>
  </si>
  <si>
    <t>按顺序：</t>
  </si>
  <si>
    <t>→ 概率论</t>
  </si>
  <si>
    <t>→ 财务数学</t>
  </si>
  <si>
    <t>→ 函数</t>
  </si>
  <si>
    <t>→ 线代基础</t>
  </si>
  <si>
    <t>预计：</t>
  </si>
  <si>
    <t>2个月左右。</t>
  </si>
  <si>
    <t>你会获得一个非常有价值的结果：</t>
  </si>
  <si>
    <t>以后学财管、经济学、量化金融、机器学习时，不再是“第一次接触”，而是不断把新知识挂到已经存在的数学框架上。</t>
  </si>
  <si>
    <t>对于你未来想走的金融交易路线，这种提前铺设底层框架的收益，通常比提前学完整套高等数学更高。</t>
  </si>
  <si>
    <t>说实话，如果你的目标是：</t>
  </si>
  <si>
    <t>CPA</t>
  </si>
  <si>
    <t>法考</t>
  </si>
  <si>
    <t>公考</t>
  </si>
  <si>
    <t>未来量化金融</t>
  </si>
  <si>
    <t>未来数据分析</t>
  </si>
  <si>
    <r>
      <t>那么</t>
    </r>
    <r>
      <rPr>
        <b/>
        <sz val="11"/>
        <color theme="1"/>
        <rFont val="等线"/>
        <scheme val="minor"/>
      </rPr>
      <t>买书是值得的，但不要按大学数学专业的买法买。</t>
    </r>
  </si>
  <si>
    <t>因为你现在最大的短板不是不会做题，而是：</t>
  </si>
  <si>
    <t>你对整个数学世界长什么样子没有地图。</t>
  </si>
  <si>
    <t>你现在看数学，大概相当于：</t>
  </si>
  <si>
    <t>知道有高数</t>
  </si>
  <si>
    <t>知道有概率论</t>
  </si>
  <si>
    <t>知道有统计学</t>
  </si>
  <si>
    <t>知道有线性代数</t>
  </si>
  <si>
    <t>但它们之间什么关系，不知道。</t>
  </si>
  <si>
    <t>我先给你画一个数学地图</t>
  </si>
  <si>
    <t>你未来大概率会用到的部分：</t>
  </si>
  <si>
    <t>数学</t>
  </si>
  <si>
    <t>├─ 代数</t>
  </si>
  <si>
    <t>│</t>
  </si>
  <si>
    <t>├─ 函数</t>
  </si>
  <si>
    <t>├─ 微积分</t>
  </si>
  <si>
    <t>├─ 概率论</t>
  </si>
  <si>
    <t>├─ 统计学</t>
  </si>
  <si>
    <t>├─ 线性代数</t>
  </si>
  <si>
    <t>├─ 优化理论</t>
  </si>
  <si>
    <t>└─ 数值计算</t>
  </si>
  <si>
    <t>而你未来实际需要的是：</t>
  </si>
  <si>
    <t xml:space="preserve"> ↓</t>
  </si>
  <si>
    <t>这是一条线。</t>
  </si>
  <si>
    <t>我最推荐你的第一本书</t>
  </si>
  <si>
    <t>不是高数。</t>
  </si>
  <si>
    <t>不是线代。</t>
  </si>
  <si>
    <t>而是：</t>
  </si>
  <si>
    <t>例如国内很多大学使用的《统计学》（贾俊平版）。</t>
  </si>
  <si>
    <t>原因很简单：</t>
  </si>
  <si>
    <t>你学完统计学以后会发现：</t>
  </si>
  <si>
    <t>CPA财管里的风险收益</t>
  </si>
  <si>
    <t>公考资料分析</t>
  </si>
  <si>
    <t>投资分析</t>
  </si>
  <si>
    <t>量化交易</t>
  </si>
  <si>
    <t>突然变成同一个东西。</t>
  </si>
  <si>
    <t>第二本</t>
  </si>
  <si>
    <t>概率论与数理统计</t>
  </si>
  <si>
    <t>但不要追求证明。</t>
  </si>
  <si>
    <t>重点理解：</t>
  </si>
  <si>
    <t>概率</t>
  </si>
  <si>
    <t>贝叶斯</t>
  </si>
  <si>
    <t>随机变量</t>
  </si>
  <si>
    <t>期望</t>
  </si>
  <si>
    <t>第三本</t>
  </si>
  <si>
    <t>很多人以为高数最重要。</t>
  </si>
  <si>
    <t>其实对未来量化和AI：</t>
  </si>
  <si>
    <t>线代比高数更重要。</t>
  </si>
  <si>
    <t>学习：</t>
  </si>
  <si>
    <t>线性变换</t>
  </si>
  <si>
    <t>高数怎么办？</t>
  </si>
  <si>
    <t>高数反而可以最后学。</t>
  </si>
  <si>
    <t>因为高数内容很多：</t>
  </si>
  <si>
    <t>导数</t>
  </si>
  <si>
    <t>微分</t>
  </si>
  <si>
    <t>积分</t>
  </si>
  <si>
    <t>多元函数</t>
  </si>
  <si>
    <t>真正对量化最有价值的是：</t>
  </si>
  <si>
    <t>导数思想。</t>
  </si>
  <si>
    <t>比如：</t>
  </si>
  <si>
    <t>genui{"algebra_functions_learning_block":{"type_id":"GRAPHABLE_FUNCTION","content":"y=x^2"}}</t>
  </si>
  <si>
    <t>你以后看到这条曲线。</t>
  </si>
  <si>
    <t>会问：</t>
  </si>
  <si>
    <t>哪个位置增长最快？</t>
  </si>
  <si>
    <t>这就是导数。</t>
  </si>
  <si>
    <t>如果让我给你配一个书单</t>
  </si>
  <si>
    <t>结合你现在的阶段（CPA、法考优先）：</t>
  </si>
  <si>
    <t>第一阶段（未来3个月）</t>
  </si>
  <si>
    <t>只买两本</t>
  </si>
  <si>
    <t>1. 《统计学》</t>
  </si>
  <si>
    <t>2. 《概率论与数理统计》</t>
  </si>
  <si>
    <t>每天30分钟。</t>
  </si>
  <si>
    <t>不要刷题。</t>
  </si>
  <si>
    <t>只理解概念。</t>
  </si>
  <si>
    <t>第二阶段（CPA结束）</t>
  </si>
  <si>
    <t>买：</t>
  </si>
  <si>
    <t>3. 《线性代数》</t>
  </si>
  <si>
    <t>4. 《高等数学》</t>
  </si>
  <si>
    <t>第三阶段（准备量化）</t>
  </si>
  <si>
    <t>Python</t>
  </si>
  <si>
    <t>此时再回头看数学。</t>
  </si>
  <si>
    <t>很多原来抽象的东西会突然变得非常具体。</t>
  </si>
  <si>
    <t>不过如果从你的长期目标来看（金融交易、量化、自媒体、公考并行），我甚至会建议一种更高效的路线：</t>
  </si>
  <si>
    <t>不买四本数学书。</t>
  </si>
  <si>
    <t>只买一本《统计学》，然后让我带你做一个“金融与量化定制版数学体系”。</t>
  </si>
  <si>
    <t>因为你不是准备考数学专业研究生，而是准备把数学当成未来投资和数据分析的工具。对于这种目标，学什么、学到什么深度，比教材本身更重要。</t>
  </si>
  <si>
    <t>背景</t>
    <phoneticPr fontId="2" type="noConversion"/>
  </si>
  <si>
    <t>家庭背景普通。</t>
    <phoneticPr fontId="2" type="noConversion"/>
  </si>
  <si>
    <t>体力精力普通。</t>
    <phoneticPr fontId="2" type="noConversion"/>
  </si>
  <si>
    <t>社交能力普通。</t>
    <phoneticPr fontId="2" type="noConversion"/>
  </si>
  <si>
    <t>对环境看法</t>
    <phoneticPr fontId="2" type="noConversion"/>
  </si>
  <si>
    <t>无公平</t>
    <phoneticPr fontId="2" type="noConversion"/>
  </si>
  <si>
    <t>无法治</t>
    <phoneticPr fontId="2" type="noConversion"/>
  </si>
  <si>
    <t>无话语权</t>
    <phoneticPr fontId="2" type="noConversion"/>
  </si>
  <si>
    <t>有群体专门害人</t>
    <phoneticPr fontId="2" type="noConversion"/>
  </si>
  <si>
    <t>把自己放在相对安全的地方</t>
    <phoneticPr fontId="2" type="noConversion"/>
  </si>
  <si>
    <t>让自己足够强大抵御危险</t>
    <phoneticPr fontId="2" type="noConversion"/>
  </si>
  <si>
    <t>减少欲望降低要求提高风险意识</t>
    <phoneticPr fontId="2" type="noConversion"/>
  </si>
  <si>
    <t>好心态</t>
    <phoneticPr fontId="2" type="noConversion"/>
  </si>
  <si>
    <t>低调</t>
    <phoneticPr fontId="2" type="noConversion"/>
  </si>
  <si>
    <t>不能让所谓道德束缚</t>
    <phoneticPr fontId="2" type="noConversion"/>
  </si>
  <si>
    <t>应对方法</t>
    <phoneticPr fontId="2" type="noConversion"/>
  </si>
  <si>
    <t>少接触风险区域/高危人群</t>
    <phoneticPr fontId="2" type="noConversion"/>
  </si>
  <si>
    <t>知识技能能力见识</t>
    <phoneticPr fontId="2" type="noConversion"/>
  </si>
  <si>
    <t>经济积累</t>
    <phoneticPr fontId="2" type="noConversion"/>
  </si>
  <si>
    <t>人生的坑</t>
    <phoneticPr fontId="2" type="noConversion"/>
  </si>
  <si>
    <t>高考失败</t>
    <phoneticPr fontId="2" type="noConversion"/>
  </si>
  <si>
    <t>移民失败</t>
    <phoneticPr fontId="2" type="noConversion"/>
  </si>
  <si>
    <t>基本收入够生活成本即可，省下时间精力考PTE。</t>
    <phoneticPr fontId="2" type="noConversion"/>
  </si>
  <si>
    <t>婚姻失败</t>
    <phoneticPr fontId="2" type="noConversion"/>
  </si>
  <si>
    <t>基本性格相容，基本目标期望互相理解，基本经济有支撑。</t>
    <phoneticPr fontId="2" type="noConversion"/>
  </si>
  <si>
    <t>自媒体</t>
    <phoneticPr fontId="2" type="noConversion"/>
  </si>
  <si>
    <t>读书失败</t>
    <phoneticPr fontId="2" type="noConversion"/>
  </si>
  <si>
    <t>原因</t>
    <phoneticPr fontId="2" type="noConversion"/>
  </si>
  <si>
    <t>缺乏对整体的思考和策略。一直靠兴趣学难题，忽略了兴趣科目（数理化）简单题的稳定性，忽略了简单科目（语文，生物）简单题的分数，丢了简单题的分，靠运气。</t>
    <phoneticPr fontId="2" type="noConversion"/>
  </si>
  <si>
    <t>如果再来一次怎么做</t>
    <phoneticPr fontId="2" type="noConversion"/>
  </si>
  <si>
    <t>出坑方法</t>
    <phoneticPr fontId="2" type="noConversion"/>
  </si>
  <si>
    <t>以总分为目标 - 简单的分稳拿，难拿的分靠后。</t>
    <phoneticPr fontId="2" type="noConversion"/>
  </si>
  <si>
    <t>缺乏目标。时间精力分配在打工上。</t>
    <phoneticPr fontId="2" type="noConversion"/>
  </si>
  <si>
    <t>计算好成本（学习，生活），时间分配到通过科目上。</t>
    <phoneticPr fontId="2" type="noConversion"/>
  </si>
  <si>
    <t>缺乏攻坚的吃苦决心。</t>
    <phoneticPr fontId="2" type="noConversion"/>
  </si>
  <si>
    <t>未在婚前想清楚婚姻。基本性格不能相容，期望差别过大。</t>
    <phoneticPr fontId="2" type="noConversion"/>
  </si>
  <si>
    <t>不再有婚姻，就过好自己的一生。再有婚姻前解决好经济。</t>
    <phoneticPr fontId="2" type="noConversion"/>
  </si>
  <si>
    <t>事业未有成功</t>
    <phoneticPr fontId="2" type="noConversion"/>
  </si>
  <si>
    <t>缺乏目标和方法。</t>
    <phoneticPr fontId="2" type="noConversion"/>
  </si>
  <si>
    <t>外语</t>
    <phoneticPr fontId="2" type="noConversion"/>
  </si>
  <si>
    <t>公</t>
    <phoneticPr fontId="2" type="noConversion"/>
  </si>
  <si>
    <t>家庭健康</t>
    <phoneticPr fontId="2" type="noConversion"/>
  </si>
  <si>
    <t>音乐</t>
    <phoneticPr fontId="2" type="noConversion"/>
  </si>
  <si>
    <t>旅行</t>
    <phoneticPr fontId="2" type="noConversion"/>
  </si>
  <si>
    <t>NG</t>
    <phoneticPr fontId="2" type="noConversion"/>
  </si>
  <si>
    <t>阅读</t>
    <phoneticPr fontId="2" type="noConversion"/>
  </si>
  <si>
    <t>搏击课</t>
    <phoneticPr fontId="2" type="noConversion"/>
  </si>
  <si>
    <t>Sun</t>
  </si>
  <si>
    <t>Mon</t>
  </si>
  <si>
    <t>Tue</t>
  </si>
  <si>
    <t>Wed</t>
  </si>
  <si>
    <t>Thu</t>
  </si>
  <si>
    <t>Fri</t>
  </si>
  <si>
    <t>Sat</t>
  </si>
  <si>
    <t>金融</t>
    <phoneticPr fontId="2" type="noConversion"/>
  </si>
  <si>
    <t>考证</t>
    <phoneticPr fontId="2" type="noConversion"/>
  </si>
  <si>
    <t>刑法论</t>
    <phoneticPr fontId="2" type="noConversion"/>
  </si>
  <si>
    <t>经济旅行</t>
    <phoneticPr fontId="2" type="noConversion"/>
  </si>
  <si>
    <t>根据经济发展去旅行，并观察经济</t>
    <phoneticPr fontId="2" type="noConversion"/>
  </si>
  <si>
    <t>危机</t>
    <phoneticPr fontId="2" type="noConversion"/>
  </si>
  <si>
    <t>经济环境恶化</t>
    <phoneticPr fontId="2" type="noConversion"/>
  </si>
  <si>
    <t>就业机会减少，岗位收入水平降低</t>
    <phoneticPr fontId="2" type="noConversion"/>
  </si>
  <si>
    <t>就业环境恶化</t>
    <phoneticPr fontId="2" type="noConversion"/>
  </si>
  <si>
    <t>中年人岗位减少</t>
    <phoneticPr fontId="2" type="noConversion"/>
  </si>
  <si>
    <t>AI冲击</t>
    <phoneticPr fontId="2" type="noConversion"/>
  </si>
  <si>
    <t>就业岗位减少</t>
    <phoneticPr fontId="2" type="noConversion"/>
  </si>
  <si>
    <t>土木</t>
    <phoneticPr fontId="2" type="noConversion"/>
  </si>
  <si>
    <t>IT，法律，翻译</t>
    <phoneticPr fontId="2" type="noConversion"/>
  </si>
  <si>
    <t>目前影响行业</t>
    <phoneticPr fontId="2" type="noConversion"/>
  </si>
  <si>
    <t>失业也不是没机会，只是也许没有转身能力。</t>
    <phoneticPr fontId="2" type="noConversion"/>
  </si>
  <si>
    <t>膝盖</t>
    <phoneticPr fontId="2" type="noConversion"/>
  </si>
  <si>
    <t>蚌式开合</t>
  </si>
  <si>
    <t>侧卧抬腿</t>
  </si>
  <si>
    <t>弹力带侧走</t>
  </si>
  <si>
    <t>臀中肌</t>
    <phoneticPr fontId="2" type="noConversion"/>
  </si>
  <si>
    <t>臀桥</t>
  </si>
  <si>
    <t>臀大肌</t>
    <phoneticPr fontId="2" type="noConversion"/>
  </si>
  <si>
    <t>保加利亚分腿蹲</t>
  </si>
  <si>
    <t>综合</t>
    <phoneticPr fontId="2" type="noConversion"/>
  </si>
  <si>
    <t>单腿站立</t>
  </si>
  <si>
    <t>神经</t>
    <phoneticPr fontId="2" type="noConversion"/>
  </si>
  <si>
    <t>3组×15次</t>
  </si>
  <si>
    <t>每腿30~60秒×3组</t>
  </si>
  <si>
    <t>股四头肌拉伸</t>
  </si>
  <si>
    <t>小腿拉伸</t>
  </si>
  <si>
    <t>30秒×3次</t>
  </si>
  <si>
    <t>肩胛控制能力</t>
  </si>
  <si>
    <t>面拉</t>
  </si>
  <si>
    <t>弹力带外旋</t>
  </si>
  <si>
    <t>Y-T-W训练</t>
  </si>
  <si>
    <t>俯卧撑Plus</t>
  </si>
  <si>
    <r>
      <t>最后再把身体轻轻推出去一点，让肩胛骨向前滑动，这一步就是训练</t>
    </r>
    <r>
      <rPr>
        <b/>
        <sz val="11"/>
        <color theme="1"/>
        <rFont val="等线"/>
        <scheme val="minor"/>
      </rPr>
      <t>前锯肌</t>
    </r>
  </si>
  <si>
    <t>前锯肌</t>
  </si>
  <si>
    <t>悬垂</t>
  </si>
  <si>
    <t>20~30秒</t>
  </si>
  <si>
    <t>手腕</t>
  </si>
  <si>
    <t>手腕屈伸</t>
  </si>
  <si>
    <t>小哑铃，手腕向上向下15次</t>
    <phoneticPr fontId="2" type="noConversion"/>
  </si>
  <si>
    <t>旋前旋后</t>
  </si>
  <si>
    <t>握力训练</t>
    <phoneticPr fontId="2" type="noConversion"/>
  </si>
  <si>
    <t>指伸肌训练</t>
  </si>
  <si>
    <t>脚踝</t>
  </si>
  <si>
    <t>提踵</t>
  </si>
  <si>
    <t>3组20次</t>
  </si>
  <si>
    <t>胫骨前肌训练</t>
  </si>
  <si>
    <t>弹力带四方向训练</t>
  </si>
  <si>
    <t>腰背</t>
  </si>
  <si>
    <t>鸟狗</t>
  </si>
  <si>
    <t>死虫</t>
  </si>
  <si>
    <t>侧桥</t>
  </si>
  <si>
    <t>Pallof Press</t>
  </si>
  <si>
    <t>髋</t>
  </si>
  <si>
    <t>Clamshell</t>
  </si>
  <si>
    <t>Monster Walk</t>
  </si>
  <si>
    <t>颈椎</t>
  </si>
  <si>
    <t>Chin Tuck（下巴内收）</t>
  </si>
  <si>
    <t>胸椎伸展</t>
  </si>
  <si>
    <t>胸小肌拉伸</t>
  </si>
  <si>
    <t>第六层：企业控制系统（管理层）
这是：大公司管理系统</t>
    <phoneticPr fontId="2" type="noConversion"/>
  </si>
  <si>
    <t>体态</t>
    <phoneticPr fontId="2" type="noConversion"/>
  </si>
  <si>
    <t>肋骨外翻</t>
    <phoneticPr fontId="2" type="noConversion"/>
  </si>
  <si>
    <t>臀部</t>
    <phoneticPr fontId="2" type="noConversion"/>
  </si>
  <si>
    <t>金融基础1</t>
    <phoneticPr fontId="2" type="noConversion"/>
  </si>
  <si>
    <t>金融基础2</t>
  </si>
  <si>
    <t>金融基础3</t>
  </si>
  <si>
    <t>宏观经济1</t>
    <phoneticPr fontId="2" type="noConversion"/>
  </si>
  <si>
    <t>宏观经济2</t>
  </si>
  <si>
    <t>宏观经济3</t>
  </si>
  <si>
    <t>宏观经济4</t>
  </si>
  <si>
    <t>宏观经济5</t>
  </si>
  <si>
    <t>宏观经济6</t>
  </si>
  <si>
    <t>公司分析1</t>
    <phoneticPr fontId="2" type="noConversion"/>
  </si>
  <si>
    <t>公司分析2</t>
  </si>
  <si>
    <t>公司分析3</t>
  </si>
  <si>
    <t>公司分析4</t>
  </si>
  <si>
    <t>公司分析5</t>
  </si>
  <si>
    <t>Python1</t>
    <phoneticPr fontId="2" type="noConversion"/>
  </si>
  <si>
    <t>Python2</t>
  </si>
  <si>
    <t>Python3</t>
  </si>
  <si>
    <t>Python4</t>
  </si>
  <si>
    <t>Python5</t>
  </si>
  <si>
    <t>Python6</t>
  </si>
  <si>
    <t>Python7</t>
  </si>
  <si>
    <t>Python8</t>
  </si>
  <si>
    <t>Python9</t>
  </si>
  <si>
    <t>Python10</t>
  </si>
  <si>
    <t>Python11</t>
  </si>
  <si>
    <t>Python12</t>
  </si>
  <si>
    <t>数量分析8</t>
  </si>
  <si>
    <t>数量分析9</t>
  </si>
  <si>
    <t>数量分析10</t>
  </si>
  <si>
    <t>数据处理1</t>
    <phoneticPr fontId="2" type="noConversion"/>
  </si>
  <si>
    <t>数据处理2</t>
  </si>
  <si>
    <t>数据处理3</t>
  </si>
  <si>
    <t>数据处理4</t>
  </si>
  <si>
    <t>数据处理5</t>
  </si>
  <si>
    <t>策略开发1</t>
    <phoneticPr fontId="2" type="noConversion"/>
  </si>
  <si>
    <t>策略开发2</t>
  </si>
  <si>
    <t>策略开发3</t>
  </si>
  <si>
    <t>策略开发4</t>
  </si>
  <si>
    <t>策略开发5</t>
  </si>
  <si>
    <t>策略开发6</t>
  </si>
  <si>
    <t>策略开发7</t>
  </si>
  <si>
    <t>策略开发8</t>
  </si>
  <si>
    <t>策略开发9</t>
  </si>
  <si>
    <t>策略开发10</t>
  </si>
  <si>
    <t>回测1</t>
    <phoneticPr fontId="2" type="noConversion"/>
  </si>
  <si>
    <t>回测2</t>
  </si>
  <si>
    <t>回测3</t>
  </si>
  <si>
    <t>回测4</t>
  </si>
  <si>
    <t>回测5</t>
  </si>
  <si>
    <t>回测6</t>
  </si>
  <si>
    <t>回测7</t>
  </si>
  <si>
    <t>风控1</t>
    <phoneticPr fontId="2" type="noConversion"/>
  </si>
  <si>
    <t>风控2</t>
  </si>
  <si>
    <t>风控3</t>
  </si>
  <si>
    <t>热敷眼睛</t>
    <phoneticPr fontId="2" type="noConversion"/>
  </si>
  <si>
    <t>山里生活不看屏幕</t>
    <phoneticPr fontId="2" type="noConversion"/>
  </si>
  <si>
    <t>骑自行车</t>
    <phoneticPr fontId="2" type="noConversion"/>
  </si>
  <si>
    <t>玩</t>
    <phoneticPr fontId="2" type="noConversion"/>
  </si>
  <si>
    <t>足球</t>
    <phoneticPr fontId="2" type="noConversion"/>
  </si>
  <si>
    <t>8月</t>
  </si>
  <si>
    <t>8月</t>
    <phoneticPr fontId="2" type="noConversion"/>
  </si>
  <si>
    <t>运动</t>
    <phoneticPr fontId="2" type="noConversion"/>
  </si>
  <si>
    <t>艺术</t>
    <phoneticPr fontId="2" type="noConversion"/>
  </si>
  <si>
    <t>拳击</t>
    <phoneticPr fontId="2" type="noConversion"/>
  </si>
  <si>
    <t>楷书</t>
    <phoneticPr fontId="2" type="noConversion"/>
  </si>
  <si>
    <t>9月</t>
  </si>
  <si>
    <t>9月</t>
    <phoneticPr fontId="2" type="noConversion"/>
  </si>
  <si>
    <t>柔韧性</t>
    <phoneticPr fontId="2" type="noConversion"/>
  </si>
  <si>
    <t>10月</t>
  </si>
  <si>
    <t>10月</t>
    <phoneticPr fontId="2" type="noConversion"/>
  </si>
  <si>
    <t>11月</t>
  </si>
  <si>
    <t>12月</t>
  </si>
  <si>
    <t>走路姿态</t>
    <phoneticPr fontId="2" type="noConversion"/>
  </si>
  <si>
    <t>武术-太极</t>
    <phoneticPr fontId="2" type="noConversion"/>
  </si>
  <si>
    <t>武术-剑术</t>
    <phoneticPr fontId="2" type="noConversion"/>
  </si>
  <si>
    <t>武术-棍术</t>
    <phoneticPr fontId="2" type="noConversion"/>
  </si>
  <si>
    <t>泰拳</t>
    <phoneticPr fontId="2" type="noConversion"/>
  </si>
  <si>
    <t>英文书写</t>
    <phoneticPr fontId="2" type="noConversion"/>
  </si>
  <si>
    <t>草书</t>
    <phoneticPr fontId="2" type="noConversion"/>
  </si>
  <si>
    <t>吉他</t>
    <phoneticPr fontId="2" type="noConversion"/>
  </si>
  <si>
    <t>2月</t>
  </si>
  <si>
    <t>3月</t>
  </si>
  <si>
    <t>4月</t>
  </si>
  <si>
    <t>5月</t>
  </si>
  <si>
    <t>6月</t>
  </si>
  <si>
    <t>7月</t>
  </si>
  <si>
    <t>萧</t>
    <phoneticPr fontId="2" type="noConversion"/>
  </si>
  <si>
    <t>编曲</t>
    <phoneticPr fontId="2" type="noConversion"/>
  </si>
  <si>
    <t>词曲创作</t>
    <phoneticPr fontId="2" type="noConversion"/>
  </si>
  <si>
    <t>其他</t>
    <phoneticPr fontId="2" type="noConversion"/>
  </si>
  <si>
    <t>酿啤酒</t>
    <phoneticPr fontId="2" type="noConversion"/>
  </si>
  <si>
    <t>山里采蘑菇</t>
    <phoneticPr fontId="2" type="noConversion"/>
  </si>
  <si>
    <t>山里采化石</t>
    <phoneticPr fontId="2" type="noConversion"/>
  </si>
  <si>
    <t>脊柱侧弯</t>
    <phoneticPr fontId="2" type="noConversion"/>
  </si>
  <si>
    <t>圆肩驼背头前伸</t>
    <phoneticPr fontId="2" type="noConversion"/>
  </si>
  <si>
    <t>纯钛全框</t>
  </si>
  <si>
    <t>51□18-145</t>
  </si>
  <si>
    <t>镜片高度37～39 mm</t>
  </si>
  <si>
    <t>总宽138 mm左右</t>
  </si>
  <si>
    <t>枪灰色（Gunmetal）</t>
  </si>
  <si>
    <t>细边框</t>
  </si>
  <si>
    <t>Panto（圆角方框）或柔和的方框</t>
  </si>
  <si>
    <t>1.60非球面镜片</t>
  </si>
  <si>
    <t>优质防反射镀膜，不必额外购买高价防蓝光功能。</t>
  </si>
  <si>
    <t>右：-5.75 / -1.25 ×20</t>
  </si>
  <si>
    <t>左：-5.25 / -1.50 ×180</t>
  </si>
  <si>
    <t>PD：63</t>
  </si>
  <si>
    <t>抗疲劳单光镜片</t>
  </si>
  <si>
    <t>镜片：1.67</t>
  </si>
  <si>
    <t>蹲起跳</t>
    <phoneticPr fontId="2" type="noConversion"/>
  </si>
  <si>
    <t>双摇跳</t>
    <phoneticPr fontId="2" type="noConversion"/>
  </si>
  <si>
    <t>证书</t>
    <phoneticPr fontId="2" type="noConversion"/>
  </si>
  <si>
    <t>CFA2</t>
    <phoneticPr fontId="2" type="noConversion"/>
  </si>
  <si>
    <t>CFA3</t>
    <phoneticPr fontId="2" type="noConversion"/>
  </si>
  <si>
    <t>发型</t>
    <phoneticPr fontId="2" type="noConversion"/>
  </si>
  <si>
    <t>眉毛</t>
    <phoneticPr fontId="2" type="noConversion"/>
  </si>
  <si>
    <t>表情</t>
    <phoneticPr fontId="2" type="noConversion"/>
  </si>
  <si>
    <t>眼镜</t>
    <phoneticPr fontId="2" type="noConversion"/>
  </si>
  <si>
    <t>谈吐</t>
    <phoneticPr fontId="2" type="noConversion"/>
  </si>
  <si>
    <t>高数</t>
    <phoneticPr fontId="2" type="noConversion"/>
  </si>
  <si>
    <t>每一天必须做开心的事</t>
    <phoneticPr fontId="2" type="noConversion"/>
  </si>
  <si>
    <t>早起散步呼吸新鲜空气喂猫</t>
    <phoneticPr fontId="2" type="noConversion"/>
  </si>
  <si>
    <t>白天学习拿到自己想要的东西</t>
    <phoneticPr fontId="2" type="noConversion"/>
  </si>
  <si>
    <t>完成阶段性任务去旅行</t>
    <phoneticPr fontId="2" type="noConversion"/>
  </si>
  <si>
    <t>每日完成任务去做想做的事</t>
    <phoneticPr fontId="2" type="noConversion"/>
  </si>
  <si>
    <t>农夫行走</t>
    <phoneticPr fontId="2" type="noConversion"/>
  </si>
  <si>
    <t>数据驱动决策</t>
  </si>
  <si>
    <t>SQL</t>
  </si>
  <si>
    <t>为人处世</t>
    <phoneticPr fontId="2" type="noConversion"/>
  </si>
  <si>
    <t>100家公司，每家10-20页</t>
    <phoneticPr fontId="2" type="noConversion"/>
  </si>
  <si>
    <t>备考CPA过程</t>
    <phoneticPr fontId="2" type="noConversion"/>
  </si>
  <si>
    <t>法考主观考试过程</t>
    <phoneticPr fontId="2" type="noConversion"/>
  </si>
  <si>
    <t>备考法考客观过程</t>
    <phoneticPr fontId="2" type="noConversion"/>
  </si>
  <si>
    <t>戒断手机
只思考今日任务</t>
    <phoneticPr fontId="2" type="noConversion"/>
  </si>
  <si>
    <t>泰森跳绳</t>
    <phoneticPr fontId="2" type="noConversion"/>
  </si>
  <si>
    <t>负重书包</t>
    <phoneticPr fontId="2" type="noConversion"/>
  </si>
  <si>
    <t>面部表情</t>
    <phoneticPr fontId="2" type="noConversion"/>
  </si>
  <si>
    <t>生活1</t>
    <phoneticPr fontId="2" type="noConversion"/>
  </si>
  <si>
    <t>生活2</t>
  </si>
  <si>
    <t>生活3</t>
  </si>
  <si>
    <t>生活4</t>
  </si>
  <si>
    <t>自考-高数，线代</t>
    <phoneticPr fontId="2" type="noConversion"/>
  </si>
  <si>
    <t>自考-编程，控制</t>
    <phoneticPr fontId="2" type="noConversion"/>
  </si>
  <si>
    <t>自考</t>
    <phoneticPr fontId="2" type="noConversion"/>
  </si>
  <si>
    <t>数学</t>
    <phoneticPr fontId="2" type="noConversion"/>
  </si>
  <si>
    <t>物理</t>
    <phoneticPr fontId="2" type="noConversion"/>
  </si>
  <si>
    <t>研结束</t>
    <phoneticPr fontId="2" type="noConversion"/>
  </si>
  <si>
    <t>第一层：基础科学</t>
  </si>
  <si>
    <t>★★★★★</t>
  </si>
  <si>
    <t>数学：</t>
  </si>
  <si>
    <t>概率统计</t>
  </si>
  <si>
    <t>物理：</t>
  </si>
  <si>
    <t>力学</t>
  </si>
  <si>
    <t>电磁学</t>
  </si>
  <si>
    <t>热力学</t>
  </si>
  <si>
    <t>这是所有工程的底层。</t>
  </si>
  <si>
    <t>目标是“懂世界主要产业” 理解机械、电气、发动机、芯片、5G、无人驾驶等制造业原理。</t>
    <phoneticPr fontId="2" type="noConversion"/>
  </si>
  <si>
    <t>第二层：现代工业核心</t>
  </si>
  <si>
    <t>电气工程</t>
  </si>
  <si>
    <t>价值最高：</t>
  </si>
  <si>
    <t>电力系统</t>
  </si>
  <si>
    <t>电机</t>
  </si>
  <si>
    <t>自动控制</t>
  </si>
  <si>
    <t>半导体基础</t>
  </si>
  <si>
    <t>计算机</t>
  </si>
  <si>
    <t>编程</t>
  </si>
  <si>
    <t>数据</t>
  </si>
  <si>
    <t>算法</t>
  </si>
  <si>
    <t>机械工程</t>
  </si>
  <si>
    <t>发动机</t>
  </si>
  <si>
    <t>制造设备</t>
  </si>
  <si>
    <t>第三层：产业应用</t>
  </si>
  <si>
    <t>★★★☆☆</t>
  </si>
  <si>
    <t>土木：</t>
  </si>
  <si>
    <t>建筑</t>
  </si>
  <si>
    <t>桥梁</t>
  </si>
  <si>
    <t>城市基础设施</t>
  </si>
  <si>
    <t>化工：</t>
  </si>
  <si>
    <t>材料</t>
  </si>
  <si>
    <t>制药</t>
  </si>
  <si>
    <t>英语</t>
    <phoneticPr fontId="2" type="noConversion"/>
  </si>
  <si>
    <t>训练</t>
    <phoneticPr fontId="2" type="noConversion"/>
  </si>
  <si>
    <t>个人生活vlog</t>
    <phoneticPr fontId="2" type="noConversion"/>
  </si>
  <si>
    <t>故事</t>
    <phoneticPr fontId="2" type="noConversion"/>
  </si>
  <si>
    <t>动画</t>
    <phoneticPr fontId="2" type="noConversion"/>
  </si>
  <si>
    <t>音效</t>
    <phoneticPr fontId="2" type="noConversion"/>
  </si>
  <si>
    <t>记忆点</t>
    <phoneticPr fontId="2" type="noConversion"/>
  </si>
  <si>
    <t>幽默</t>
    <phoneticPr fontId="2" type="noConversion"/>
  </si>
  <si>
    <t>30天尝试XX</t>
    <phoneticPr fontId="2" type="noConversion"/>
  </si>
  <si>
    <t>30天学XX</t>
    <phoneticPr fontId="2" type="noConversion"/>
  </si>
  <si>
    <t>21天最简单应用英语</t>
    <phoneticPr fontId="2" type="noConversion"/>
  </si>
  <si>
    <t>21天最高级英语</t>
    <phoneticPr fontId="2" type="noConversion"/>
  </si>
  <si>
    <t>世界</t>
    <phoneticPr fontId="2" type="noConversion"/>
  </si>
  <si>
    <t>财经</t>
    <phoneticPr fontId="2" type="noConversion"/>
  </si>
  <si>
    <t>拆解财报</t>
    <phoneticPr fontId="2" type="noConversion"/>
  </si>
  <si>
    <t>理解公司</t>
    <phoneticPr fontId="2" type="noConversion"/>
  </si>
  <si>
    <t>讲解案件</t>
    <phoneticPr fontId="2" type="noConversion"/>
  </si>
  <si>
    <t>地理</t>
    <phoneticPr fontId="2" type="noConversion"/>
  </si>
  <si>
    <t>文化-足球/篮球…</t>
    <phoneticPr fontId="2" type="noConversion"/>
  </si>
  <si>
    <t>历史</t>
    <phoneticPr fontId="2" type="noConversion"/>
  </si>
  <si>
    <t>拆解行业原理</t>
    <phoneticPr fontId="2" type="noConversion"/>
  </si>
  <si>
    <t>文学</t>
    <phoneticPr fontId="2" type="noConversion"/>
  </si>
  <si>
    <t>21天最老练应用英语</t>
    <phoneticPr fontId="2" type="noConversion"/>
  </si>
  <si>
    <t>21天最正规商务英语</t>
    <phoneticPr fontId="2" type="noConversion"/>
  </si>
  <si>
    <t>21天最合理邮件英语</t>
    <phoneticPr fontId="2" type="noConversion"/>
  </si>
  <si>
    <t>政治</t>
    <phoneticPr fontId="2" type="noConversion"/>
  </si>
  <si>
    <t>吉他/单簧管</t>
    <phoneticPr fontId="2" type="noConversion"/>
  </si>
  <si>
    <t>吉他/单簧管/编曲</t>
    <phoneticPr fontId="2" type="noConversion"/>
  </si>
  <si>
    <t>行业逻辑</t>
    <phoneticPr fontId="2" type="noConversion"/>
  </si>
  <si>
    <t>行业发展</t>
    <phoneticPr fontId="2" type="noConversion"/>
  </si>
  <si>
    <t>法律</t>
    <phoneticPr fontId="2" type="noConversion"/>
  </si>
  <si>
    <t>战略资源监测</t>
    <phoneticPr fontId="2" type="noConversion"/>
  </si>
  <si>
    <t>做模型</t>
    <phoneticPr fontId="2" type="noConversion"/>
  </si>
  <si>
    <t>线代</t>
    <phoneticPr fontId="2" type="noConversion"/>
  </si>
  <si>
    <t>控制系统</t>
    <phoneticPr fontId="2" type="noConversion"/>
  </si>
  <si>
    <t>概率与统计</t>
    <phoneticPr fontId="2" type="noConversion"/>
  </si>
  <si>
    <t>编程</t>
    <phoneticPr fontId="2" type="noConversion"/>
  </si>
  <si>
    <t>地缘政治检测</t>
    <phoneticPr fontId="2" type="noConversion"/>
  </si>
  <si>
    <t>国家财经制度检测</t>
    <phoneticPr fontId="2" type="noConversion"/>
  </si>
  <si>
    <t>量化V2.0 - 测试交易模型；深化学习知识，深入行业学习，做出第二个模型</t>
    <phoneticPr fontId="2" type="noConversion"/>
  </si>
  <si>
    <t>量化V3 - 实战交易；深化学习知识，深入行业学习，做出第三个模型</t>
    <phoneticPr fontId="2" type="noConversion"/>
  </si>
  <si>
    <t>做出备考助手</t>
    <phoneticPr fontId="2" type="noConversion"/>
  </si>
  <si>
    <t>做出生活助手</t>
    <phoneticPr fontId="2" type="noConversion"/>
  </si>
  <si>
    <t>做出工作助手</t>
    <phoneticPr fontId="2" type="noConversion"/>
  </si>
  <si>
    <t>做出一套金融自动化系统</t>
    <phoneticPr fontId="2" type="noConversion"/>
  </si>
  <si>
    <t>做出一套自媒体自动化工作系统</t>
    <phoneticPr fontId="2" type="noConversion"/>
  </si>
  <si>
    <t>数据统计与概率论</t>
    <phoneticPr fontId="2" type="noConversion"/>
  </si>
  <si>
    <t>猫咪是否真的会在米桶里拉屎？</t>
    <phoneticPr fontId="2" type="noConversion"/>
  </si>
  <si>
    <t>遇到大灰猫</t>
    <phoneticPr fontId="2" type="noConversion"/>
  </si>
  <si>
    <t>大灰猫黏人与警惕</t>
    <phoneticPr fontId="2" type="noConversion"/>
  </si>
  <si>
    <t>大灰猫进家</t>
    <phoneticPr fontId="2" type="noConversion"/>
  </si>
  <si>
    <t>大灰猫各种方法进家</t>
    <phoneticPr fontId="2" type="noConversion"/>
  </si>
  <si>
    <t>不再让大灰猫进家-每日在门外等候</t>
    <phoneticPr fontId="2" type="noConversion"/>
  </si>
  <si>
    <t>发现大灰猫在户外吃不上饭</t>
    <phoneticPr fontId="2" type="noConversion"/>
  </si>
  <si>
    <t>再次尝试让大灰猫进屋-发现绝世好猫</t>
    <phoneticPr fontId="2" type="noConversion"/>
  </si>
  <si>
    <t>三只猫的状态</t>
    <phoneticPr fontId="2" type="noConversion"/>
  </si>
  <si>
    <t>务实 - 胆大/脸皮厚/翻篇/不在意别人期待眼光/自己第一/不多想</t>
    <phoneticPr fontId="2" type="noConversion"/>
  </si>
  <si>
    <t>CPA出成绩</t>
    <phoneticPr fontId="2" type="noConversion"/>
  </si>
  <si>
    <t>法考主出成绩</t>
    <phoneticPr fontId="2" type="noConversion"/>
  </si>
  <si>
    <t>税务师出成绩</t>
    <phoneticPr fontId="2" type="noConversion"/>
  </si>
  <si>
    <t>顺便考。</t>
    <phoneticPr fontId="2" type="noConversion"/>
  </si>
  <si>
    <t>知识体系</t>
    <phoneticPr fontId="2" type="noConversion"/>
  </si>
  <si>
    <t>经济</t>
    <phoneticPr fontId="2" type="noConversion"/>
  </si>
  <si>
    <t>财税</t>
    <phoneticPr fontId="2" type="noConversion"/>
  </si>
  <si>
    <t>输出</t>
    <phoneticPr fontId="2" type="noConversion"/>
  </si>
  <si>
    <t>合同法案例库</t>
    <phoneticPr fontId="2" type="noConversion"/>
  </si>
  <si>
    <t>破产法案例库</t>
    <phoneticPr fontId="2" type="noConversion"/>
  </si>
  <si>
    <t>公司法案例库</t>
    <phoneticPr fontId="2" type="noConversion"/>
  </si>
  <si>
    <t>财报拆解分析库</t>
    <phoneticPr fontId="2" type="noConversion"/>
  </si>
  <si>
    <t>财务模型库</t>
    <phoneticPr fontId="2" type="noConversion"/>
  </si>
  <si>
    <t>股权规划方法库</t>
    <phoneticPr fontId="2" type="noConversion"/>
  </si>
  <si>
    <t>税收筹划方法库</t>
    <phoneticPr fontId="2" type="noConversion"/>
  </si>
  <si>
    <t>税务法律政策库</t>
    <phoneticPr fontId="2" type="noConversion"/>
  </si>
  <si>
    <t>宏观经济指标监测</t>
    <phoneticPr fontId="2" type="noConversion"/>
  </si>
  <si>
    <t>民法体系</t>
    <phoneticPr fontId="2" type="noConversion"/>
  </si>
  <si>
    <t>商法体系</t>
    <phoneticPr fontId="2" type="noConversion"/>
  </si>
  <si>
    <t>民诉体系</t>
    <phoneticPr fontId="2" type="noConversion"/>
  </si>
  <si>
    <t>行政法体系</t>
    <phoneticPr fontId="2" type="noConversion"/>
  </si>
  <si>
    <t>经济法体系</t>
    <phoneticPr fontId="2" type="noConversion"/>
  </si>
  <si>
    <t>刑法体系</t>
    <phoneticPr fontId="2" type="noConversion"/>
  </si>
  <si>
    <t>会计体系</t>
    <phoneticPr fontId="2" type="noConversion"/>
  </si>
  <si>
    <t>财管体系</t>
    <phoneticPr fontId="2" type="noConversion"/>
  </si>
  <si>
    <t>税法体系</t>
    <phoneticPr fontId="2" type="noConversion"/>
  </si>
  <si>
    <t>审计体系</t>
    <phoneticPr fontId="2" type="noConversion"/>
  </si>
  <si>
    <t>商业</t>
    <phoneticPr fontId="2" type="noConversion"/>
  </si>
  <si>
    <t>公司战略</t>
    <phoneticPr fontId="2" type="noConversion"/>
  </si>
  <si>
    <t>行业关键科技指标检测</t>
    <phoneticPr fontId="2" type="noConversion"/>
  </si>
  <si>
    <t>行业关键指标检测</t>
    <phoneticPr fontId="2" type="noConversion"/>
  </si>
  <si>
    <t>工程</t>
    <phoneticPr fontId="2" type="noConversion"/>
  </si>
  <si>
    <t>IT</t>
    <phoneticPr fontId="2" type="noConversion"/>
  </si>
  <si>
    <t>信号系统</t>
    <phoneticPr fontId="2" type="noConversion"/>
  </si>
  <si>
    <t>交易模型</t>
    <phoneticPr fontId="2" type="noConversion"/>
  </si>
  <si>
    <t>转化</t>
    <phoneticPr fontId="2" type="noConversion"/>
  </si>
  <si>
    <t>金融基础4</t>
  </si>
  <si>
    <t>金融基础5</t>
  </si>
  <si>
    <t>金融基础6</t>
  </si>
  <si>
    <t>金融基础7</t>
  </si>
  <si>
    <t>宏观经济7</t>
  </si>
  <si>
    <t>公司分析6</t>
  </si>
  <si>
    <t>公司分析7</t>
  </si>
  <si>
    <t>公司分析8</t>
  </si>
  <si>
    <t>公司分析9</t>
  </si>
  <si>
    <t>公司分析10</t>
  </si>
  <si>
    <t>技术兴趣路线：</t>
  </si>
  <si>
    <t>第一层：理解工业</t>
  </si>
  <si>
    <t>机械基础</t>
  </si>
  <si>
    <t>电气基础</t>
  </si>
  <si>
    <t>工业流程</t>
  </si>
  <si>
    <t>目的：</t>
  </si>
  <si>
    <t>看懂企业。</t>
  </si>
  <si>
    <t>第二层：自动化</t>
  </si>
  <si>
    <t>重点：</t>
  </si>
  <si>
    <t>工业机器人</t>
  </si>
  <si>
    <t>传感器</t>
  </si>
  <si>
    <t>控制逻辑</t>
  </si>
  <si>
    <t>不要成为电工。</t>
  </si>
  <si>
    <t>第三层：数字化</t>
  </si>
  <si>
    <t>MES/ERP连接</t>
  </si>
  <si>
    <t>这里和你的财务背景产生化学反应。</t>
  </si>
  <si>
    <t>做一套法律自动化系统</t>
    <phoneticPr fontId="2" type="noConversion"/>
  </si>
  <si>
    <t>做一套税务自动化系统</t>
    <phoneticPr fontId="2" type="noConversion"/>
  </si>
  <si>
    <t>藏拙/务实/真诚/实力</t>
    <phoneticPr fontId="2" type="noConversion"/>
  </si>
  <si>
    <t>德语 B2</t>
    <phoneticPr fontId="2" type="noConversion"/>
  </si>
  <si>
    <t>电气基础（电路电机控制理论）</t>
    <phoneticPr fontId="2" type="noConversion"/>
  </si>
  <si>
    <t>PLC基础</t>
    <phoneticPr fontId="2" type="noConversion"/>
  </si>
  <si>
    <t>第一阶段：2026-2027（建立工程和数学底座）</t>
  </si>
  <si>
    <t>A. 工业科技线</t>
  </si>
  <si>
    <t>达到：</t>
  </si>
  <si>
    <t>能看懂一个现代制造企业生产系统。</t>
  </si>
  <si>
    <t>不是工程师水平，而是“懂行”。</t>
  </si>
  <si>
    <t>1. 电气自动化（3-6个月）</t>
  </si>
  <si>
    <t>你现在看的PLC班可以作为入口。</t>
  </si>
  <si>
    <t>电工基础</t>
  </si>
  <si>
    <t>必须掌握：</t>
  </si>
  <si>
    <t>欧姆定律</t>
  </si>
  <si>
    <t>三相交流电</t>
  </si>
  <si>
    <t>电机原理</t>
  </si>
  <si>
    <t>接触器控制</t>
  </si>
  <si>
    <t>继电器控制</t>
  </si>
  <si>
    <t>PLC</t>
  </si>
  <si>
    <t>西门子：</t>
  </si>
  <si>
    <t>S7-1200</t>
  </si>
  <si>
    <t>TIA Portal</t>
  </si>
  <si>
    <t>掌握：</t>
  </si>
  <si>
    <t>LAD梯形图</t>
  </si>
  <si>
    <t>输入输出</t>
  </si>
  <si>
    <t>定时器</t>
  </si>
  <si>
    <t>计数器</t>
  </si>
  <si>
    <t>数据块</t>
  </si>
  <si>
    <t>PID</t>
  </si>
  <si>
    <t>工业通讯</t>
  </si>
  <si>
    <t>补：</t>
  </si>
  <si>
    <t>Modbus</t>
  </si>
  <si>
    <t>Profinet</t>
  </si>
  <si>
    <t>Ethernet/IP</t>
  </si>
  <si>
    <t>2. 机械制造基础（同步）</t>
  </si>
  <si>
    <t>不用读机械本科。</t>
  </si>
  <si>
    <t>学习目标：</t>
  </si>
  <si>
    <t>知道机器怎么赚钱。</t>
  </si>
  <si>
    <t>机械传动</t>
  </si>
  <si>
    <t>轴承</t>
  </si>
  <si>
    <t>齿轮</t>
  </si>
  <si>
    <t>液压</t>
  </si>
  <si>
    <t>气动</t>
  </si>
  <si>
    <t>制造工艺</t>
  </si>
  <si>
    <t>了解：</t>
  </si>
  <si>
    <t>CNC加工</t>
  </si>
  <si>
    <t>铸造</t>
  </si>
  <si>
    <t>锻造</t>
  </si>
  <si>
    <t>注塑</t>
  </si>
  <si>
    <t>焊接</t>
  </si>
  <si>
    <t>洛阳优势：</t>
  </si>
  <si>
    <t>你可以直接接触：</t>
  </si>
  <si>
    <t>装备制造</t>
  </si>
  <si>
    <t>重工业企业</t>
  </si>
  <si>
    <t>3. 工业数字化（2027开始）</t>
  </si>
  <si>
    <t>这是你和普通PLC人员拉开差距的地方。</t>
  </si>
  <si>
    <t>生产现场：</t>
  </si>
  <si>
    <t>MES</t>
  </si>
  <si>
    <t>ERP</t>
  </si>
  <si>
    <t>财务系统</t>
  </si>
  <si>
    <t>Python数据采集</t>
  </si>
  <si>
    <t>数据库</t>
  </si>
  <si>
    <t>B. 量化金融线</t>
  </si>
  <si>
    <t>2026-2027不要急着交易。</t>
  </si>
  <si>
    <t>先建立数学和计算能力。</t>
  </si>
  <si>
    <t>数学路线</t>
  </si>
  <si>
    <t>顺序：</t>
  </si>
  <si>
    <t>第一层：大学数学基础</t>
  </si>
  <si>
    <t>6个月：</t>
  </si>
  <si>
    <t>高等数学：</t>
  </si>
  <si>
    <t>线性代数：</t>
  </si>
  <si>
    <t>特征值</t>
  </si>
  <si>
    <t>向量空间</t>
  </si>
  <si>
    <t>概率：</t>
  </si>
  <si>
    <t>分布</t>
  </si>
  <si>
    <t>第二层：统计基础</t>
  </si>
  <si>
    <t>回归</t>
  </si>
  <si>
    <t>时间序列</t>
  </si>
  <si>
    <t>假设检验</t>
  </si>
  <si>
    <t>蒙特卡洛模拟</t>
  </si>
  <si>
    <t>因为金融数据本质：</t>
  </si>
  <si>
    <t>价格序列</t>
  </si>
  <si>
    <t>统计规律</t>
  </si>
  <si>
    <t>概率判断</t>
  </si>
  <si>
    <t>交易决策</t>
  </si>
  <si>
    <t>编程路线</t>
  </si>
  <si>
    <t>你的工业和量化共用。</t>
  </si>
  <si>
    <t>必须熟：</t>
  </si>
  <si>
    <t>基础语法</t>
  </si>
  <si>
    <t>numpy</t>
  </si>
  <si>
    <t>pandas</t>
  </si>
  <si>
    <t>matplotlib</t>
  </si>
  <si>
    <t>数据：</t>
  </si>
  <si>
    <t>再：</t>
  </si>
  <si>
    <t>机器学习：</t>
  </si>
  <si>
    <t>sklearn</t>
  </si>
  <si>
    <t>深度学习基础</t>
  </si>
  <si>
    <t>第二阶段：2028-2030（形成差异化）</t>
  </si>
  <si>
    <t>这时候开始分叉。</t>
  </si>
  <si>
    <t>工业方向深入</t>
  </si>
  <si>
    <t>选择：</t>
  </si>
  <si>
    <t>工业AI / 智能制造</t>
  </si>
  <si>
    <t>机器视觉</t>
  </si>
  <si>
    <t>摄像头检测产品缺陷。</t>
  </si>
  <si>
    <t>ABB</t>
  </si>
  <si>
    <t>FANUC</t>
  </si>
  <si>
    <t>KUKA</t>
  </si>
  <si>
    <t>数字孪生</t>
  </si>
  <si>
    <t>工厂虚拟模型。</t>
  </si>
  <si>
    <t>工业数据分析</t>
  </si>
  <si>
    <t>预测设备故障：</t>
  </si>
  <si>
    <t>传感器数据</t>
  </si>
  <si>
    <t>预测维修时间</t>
  </si>
  <si>
    <t>降低成本</t>
  </si>
  <si>
    <t>量化方向深入</t>
  </si>
  <si>
    <t>进入真正量化。</t>
  </si>
  <si>
    <t>金融数学</t>
  </si>
  <si>
    <t>股票价格：</t>
  </si>
  <si>
    <t>昨天价格</t>
  </si>
  <si>
    <t>+</t>
  </si>
  <si>
    <t>成交量</t>
  </si>
  <si>
    <t>波动率</t>
  </si>
  <si>
    <t>宏观变量</t>
  </si>
  <si>
    <t>预测概率</t>
  </si>
  <si>
    <t>资产定价</t>
  </si>
  <si>
    <t>CAPM</t>
  </si>
  <si>
    <t>套利定价</t>
  </si>
  <si>
    <t>因子模型</t>
  </si>
  <si>
    <t>量化策略</t>
  </si>
  <si>
    <t>方向：</t>
  </si>
  <si>
    <t>股票：</t>
  </si>
  <si>
    <t>多因子</t>
  </si>
  <si>
    <t>期货：</t>
  </si>
  <si>
    <t>趋势</t>
  </si>
  <si>
    <t>套利：</t>
  </si>
  <si>
    <t>统计套利</t>
  </si>
  <si>
    <t>第三阶段：2030以后，你的组合价值出现</t>
  </si>
  <si>
    <t>你的个人标签：</t>
  </si>
  <si>
    <t>可能不是：</t>
  </si>
  <si>
    <t>“PLC工程师”</t>
  </si>
  <si>
    <t>也不是：</t>
  </si>
  <si>
    <t>“量化交易员”。</t>
  </si>
  <si>
    <t>产业投资分析师 / 工业数字化专家</t>
  </si>
  <si>
    <t>分析一家制造企业：</t>
  </si>
  <si>
    <t>传统财务人员：</t>
  </si>
  <si>
    <t>看到：</t>
  </si>
  <si>
    <t>利润、现金流。</t>
  </si>
  <si>
    <t>你：</t>
  </si>
  <si>
    <t>利润</t>
  </si>
  <si>
    <t>生产效率</t>
  </si>
  <si>
    <t>自动化水平</t>
  </si>
  <si>
    <t>技术壁垒</t>
  </si>
  <si>
    <t>数据指标</t>
  </si>
  <si>
    <t>行业周期。</t>
  </si>
  <si>
    <t>这就是你的复合优势。</t>
  </si>
  <si>
    <t>量化金融</t>
    <phoneticPr fontId="2" type="noConversion"/>
  </si>
  <si>
    <t>V1.0个人量化研究系统 - 完成金融知识,经济知识搭建，做出一套宏观经济地缘政治监测模型；做出第一个交易模型</t>
    <phoneticPr fontId="2" type="noConversion"/>
  </si>
  <si>
    <r>
      <t>这个问题我觉得非常关键。因为你的目标不是普通“学一门技能找工作”，而是构建一个</t>
    </r>
    <r>
      <rPr>
        <b/>
        <sz val="11"/>
        <color theme="1"/>
        <rFont val="等线"/>
        <scheme val="minor"/>
      </rPr>
      <t>个人能力组合</t>
    </r>
    <r>
      <rPr>
        <sz val="11"/>
        <color theme="1"/>
        <rFont val="等线"/>
        <family val="2"/>
        <charset val="134"/>
        <scheme val="minor"/>
      </rPr>
      <t>。如果按照传统路径：</t>
    </r>
  </si>
  <si>
    <t>电气本科</t>
  </si>
  <si>
    <t>计算机本科</t>
  </si>
  <si>
    <t>金融硕士</t>
  </si>
  <si>
    <t>法律硕士</t>
  </si>
  <si>
    <t>各种培训班</t>
  </si>
  <si>
    <t>你花10年、几十万甚至上百万，都未必达到你想要的组合。</t>
  </si>
  <si>
    <r>
      <t>所以必须采用</t>
    </r>
    <r>
      <rPr>
        <b/>
        <sz val="11"/>
        <color theme="1"/>
        <rFont val="等线"/>
        <scheme val="minor"/>
      </rPr>
      <t>最低成本、最高杠杆的方法</t>
    </r>
    <r>
      <rPr>
        <sz val="11"/>
        <color theme="1"/>
        <rFont val="等线"/>
        <family val="2"/>
        <charset val="134"/>
        <scheme val="minor"/>
      </rPr>
      <t>。</t>
    </r>
  </si>
  <si>
    <t>如果我是你，我不会把钱主要花在学历和培训上，而会采用：</t>
  </si>
  <si>
    <t>自学理论 + 购买关键实践环境 + 企业观察 + 小项目输出 + 少量高价值培训</t>
  </si>
  <si>
    <t>下面我逐个拆。</t>
  </si>
  <si>
    <t>一、先建立原则：什么必须花钱，什么不要花钱</t>
  </si>
  <si>
    <t>不值得花钱：</t>
  </si>
  <si>
    <t>1. 基础知识</t>
  </si>
  <si>
    <t>高等数学</t>
  </si>
  <si>
    <t>Python基础</t>
  </si>
  <si>
    <t>财务分析</t>
  </si>
  <si>
    <t>公司金融</t>
  </si>
  <si>
    <t>法律理论</t>
  </si>
  <si>
    <t>这些全部自学。</t>
  </si>
  <si>
    <t>原因：</t>
  </si>
  <si>
    <t>互联网时代，这些知识成本接近0。</t>
  </si>
  <si>
    <t>你花钱买课程，本质买的是：</t>
  </si>
  <si>
    <t>监督</t>
  </si>
  <si>
    <t>体系</t>
  </si>
  <si>
    <t>答疑</t>
  </si>
  <si>
    <t>不是知识。</t>
  </si>
  <si>
    <t>值得花钱：</t>
  </si>
  <si>
    <t>1. 真实设备</t>
  </si>
  <si>
    <t>PLC。</t>
  </si>
  <si>
    <t>为什么？</t>
  </si>
  <si>
    <t>因为：</t>
  </si>
  <si>
    <t>你看100小时视频：</t>
  </si>
  <si>
    <t>≠</t>
  </si>
  <si>
    <t>你自己接一次线。</t>
  </si>
  <si>
    <t>2. 企业环境</t>
  </si>
  <si>
    <t>进入工厂观察。</t>
  </si>
  <si>
    <t>工业知识最大的问题：</t>
  </si>
  <si>
    <t>书本和现场差距巨大。</t>
  </si>
  <si>
    <t>3. 高水平反馈</t>
  </si>
  <si>
    <t>找真正做过：</t>
  </si>
  <si>
    <t>自动化工程</t>
  </si>
  <si>
    <t>投资研究</t>
  </si>
  <si>
    <t>的人交流。</t>
  </si>
  <si>
    <t>二、工业科技线：最低成本路线</t>
  </si>
  <si>
    <t>第一层：理论（自学）</t>
  </si>
  <si>
    <t>不要读电气本科。</t>
  </si>
  <si>
    <t>看懂设备。</t>
  </si>
  <si>
    <t>教材：</t>
  </si>
  <si>
    <t>电工学基础。</t>
  </si>
  <si>
    <t>内容：</t>
  </si>
  <si>
    <t>电路</t>
  </si>
  <si>
    <t>控制</t>
  </si>
  <si>
    <t>时间：</t>
  </si>
  <si>
    <t>2个月。</t>
  </si>
  <si>
    <t>反馈</t>
  </si>
  <si>
    <t>控制系统</t>
  </si>
  <si>
    <t>这是PLC背后的理论。</t>
  </si>
  <si>
    <t>机械制造</t>
  </si>
  <si>
    <t>不用深入设计。</t>
  </si>
  <si>
    <t>“制造业百科”。</t>
  </si>
  <si>
    <t>包括：</t>
  </si>
  <si>
    <t>机床</t>
  </si>
  <si>
    <t>加工</t>
  </si>
  <si>
    <t>工艺流程</t>
  </si>
  <si>
    <t>成本：</t>
  </si>
  <si>
    <t>0元。</t>
  </si>
  <si>
    <t>第二层：实操</t>
  </si>
  <si>
    <t>这里花钱。</t>
  </si>
  <si>
    <t>方案A：</t>
  </si>
  <si>
    <t>短期PLC培训（你看的8800）</t>
  </si>
  <si>
    <t>适合：</t>
  </si>
  <si>
    <t>快速入门。</t>
  </si>
  <si>
    <t>三个月以后：</t>
  </si>
  <si>
    <t>不要继续报班。</t>
  </si>
  <si>
    <t>方案B：</t>
  </si>
  <si>
    <t>自己买设备</t>
  </si>
  <si>
    <t>大约：</t>
  </si>
  <si>
    <t>3000-5000元。</t>
  </si>
  <si>
    <t>可以买：</t>
  </si>
  <si>
    <t>西门子S7-1200学习套件</t>
  </si>
  <si>
    <t>小型触摸屏</t>
  </si>
  <si>
    <t>电机模型</t>
  </si>
  <si>
    <t>然后做：</t>
  </si>
  <si>
    <t>10个项目。</t>
  </si>
  <si>
    <t>自动门</t>
  </si>
  <si>
    <t>输送带</t>
  </si>
  <si>
    <t>液位控制</t>
  </si>
  <si>
    <t>温度控制</t>
  </si>
  <si>
    <t>电机正反转</t>
  </si>
  <si>
    <t>这个价值超过继续培训。</t>
  </si>
  <si>
    <t>第三层：企业观察</t>
  </si>
  <si>
    <t>这个是你最大的优势。</t>
  </si>
  <si>
    <t>因为你在洛阳。</t>
  </si>
  <si>
    <t>我会做：</t>
  </si>
  <si>
    <t>每个月访问1-2家制造企业</t>
  </si>
  <si>
    <t>不是求职。</t>
  </si>
  <si>
    <t>学习。</t>
  </si>
  <si>
    <t>观察：</t>
  </si>
  <si>
    <t>财务角度：</t>
  </si>
  <si>
    <t>原材料成本</t>
  </si>
  <si>
    <t>人工成本</t>
  </si>
  <si>
    <t>毛利</t>
  </si>
  <si>
    <t>工业角度：</t>
  </si>
  <si>
    <t>生产流程</t>
  </si>
  <si>
    <t>自动化程度</t>
  </si>
  <si>
    <t>设备投资</t>
  </si>
  <si>
    <t>技术角度：</t>
  </si>
  <si>
    <t>PLC在哪里</t>
  </si>
  <si>
    <t>数据在哪里产生</t>
  </si>
  <si>
    <t>你过去有财务经验。</t>
  </si>
  <si>
    <t>这个身份很好。</t>
  </si>
  <si>
    <t>你不是学生。</t>
  </si>
  <si>
    <t>你可以问：</t>
  </si>
  <si>
    <t>“我做企业成本分析，想了解制造流程。”</t>
  </si>
  <si>
    <t>很多老板愿意聊。</t>
  </si>
  <si>
    <t>三、量化金融线：最低成本路线</t>
  </si>
  <si>
    <t>这里千万不要花钱报：</t>
  </si>
  <si>
    <t>“量化交易培训班”。</t>
  </si>
  <si>
    <t>绝大多数价值很低。</t>
  </si>
  <si>
    <t>第一阶段：</t>
  </si>
  <si>
    <t>自学数学。</t>
  </si>
  <si>
    <t>高数</t>
  </si>
  <si>
    <t>线代</t>
  </si>
  <si>
    <t>统计</t>
  </si>
  <si>
    <t>1-2年。</t>
  </si>
  <si>
    <t>第二阶段：</t>
  </si>
  <si>
    <t>自己做项目。</t>
  </si>
  <si>
    <t>不要学：</t>
  </si>
  <si>
    <t>“Python语法”。</t>
  </si>
  <si>
    <t>直接：</t>
  </si>
  <si>
    <t>项目驱动。</t>
  </si>
  <si>
    <t>项目1：</t>
  </si>
  <si>
    <t>抓取股票数据。</t>
  </si>
  <si>
    <t>项目2：</t>
  </si>
  <si>
    <t>计算指标。</t>
  </si>
  <si>
    <t>项目3：</t>
  </si>
  <si>
    <t>做回测。</t>
  </si>
  <si>
    <t>项目4：</t>
  </si>
  <si>
    <t>因子分析。</t>
  </si>
  <si>
    <t>第三阶段：</t>
  </si>
  <si>
    <t>建立研究框架。</t>
  </si>
  <si>
    <t>每个月：</t>
  </si>
  <si>
    <t>研究一个策略。</t>
  </si>
  <si>
    <t>一年：</t>
  </si>
  <si>
    <t>12份研究报告。</t>
  </si>
  <si>
    <t>这比考证有价值。</t>
  </si>
  <si>
    <t>四、金融和工业如何结合？</t>
  </si>
  <si>
    <t>这是你最特殊的地方。</t>
  </si>
  <si>
    <t>我会设计几个项目：</t>
  </si>
  <si>
    <t>制造企业财务+自动化分析</t>
  </si>
  <si>
    <t>研究：</t>
  </si>
  <si>
    <t>某上市制造公司。</t>
  </si>
  <si>
    <t>财报：</t>
  </si>
  <si>
    <t>资本开支</t>
  </si>
  <si>
    <t>自动化设备投入</t>
  </si>
  <si>
    <t>工业周期量化</t>
  </si>
  <si>
    <t>钢铁、机械、能源。</t>
  </si>
  <si>
    <t>商品价格</t>
  </si>
  <si>
    <t>企业利润</t>
  </si>
  <si>
    <t>股价</t>
  </si>
  <si>
    <t>产业数据投资模型</t>
  </si>
  <si>
    <t>制造业PMI</t>
  </si>
  <si>
    <t>订单</t>
  </si>
  <si>
    <t>库存</t>
  </si>
  <si>
    <t>盈利预测</t>
  </si>
  <si>
    <t>这个方向非常适合你。</t>
  </si>
  <si>
    <t>五、自媒体：不要单独设计</t>
  </si>
  <si>
    <t>很多人失败原因：</t>
  </si>
  <si>
    <t>把自媒体当第四件事。</t>
  </si>
  <si>
    <t>实际上：</t>
  </si>
  <si>
    <t>应该成为前三个项目的输出渠道。</t>
  </si>
  <si>
    <t>你的生产流程：</t>
  </si>
  <si>
    <t>研究笔记</t>
  </si>
  <si>
    <t>文章</t>
  </si>
  <si>
    <t>视频</t>
  </si>
  <si>
    <t>一份资料三次利用。</t>
  </si>
  <si>
    <t>你研究：</t>
  </si>
  <si>
    <t>“宁德时代财报”。</t>
  </si>
  <si>
    <t>产生：</t>
  </si>
  <si>
    <t>1篇研究报告</t>
  </si>
  <si>
    <t>1个视频</t>
  </si>
  <si>
    <t>1个量化案例</t>
  </si>
  <si>
    <t>六、学历怎么处理？</t>
  </si>
  <si>
    <t>我的排序：</t>
  </si>
  <si>
    <t>不建议：</t>
  </si>
  <si>
    <t>重新读电气本科。</t>
  </si>
  <si>
    <t>投入巨大。</t>
  </si>
  <si>
    <t>收益低。</t>
  </si>
  <si>
    <t>可以考虑：</t>
  </si>
  <si>
    <t>非全研究生。</t>
  </si>
  <si>
    <t>但是必须满足：</t>
  </si>
  <si>
    <t>两个条件：</t>
  </si>
  <si>
    <t>专业：</t>
  </si>
  <si>
    <t>数据科学</t>
  </si>
  <si>
    <t>人工智能</t>
  </si>
  <si>
    <t>金融工程</t>
  </si>
  <si>
    <t>智能制造</t>
  </si>
  <si>
    <t>学校：</t>
  </si>
  <si>
    <t>有资源。</t>
  </si>
  <si>
    <t>否则：</t>
  </si>
  <si>
    <t>不如3年做项目。</t>
  </si>
  <si>
    <t>七、我认为你的最佳投资清单</t>
  </si>
  <si>
    <t>未来3年：</t>
  </si>
  <si>
    <t>花钱：</t>
  </si>
  <si>
    <t>1万元：</t>
  </si>
  <si>
    <t>PLC培训</t>
  </si>
  <si>
    <t>5000元：</t>
  </si>
  <si>
    <t>PLC设备</t>
  </si>
  <si>
    <t>电脑升级/服务器</t>
  </si>
  <si>
    <t>1-2万元：</t>
  </si>
  <si>
    <t>书籍、课程、考试</t>
  </si>
  <si>
    <t>总：</t>
  </si>
  <si>
    <t>3-5万元。</t>
  </si>
  <si>
    <t>不要花：</t>
  </si>
  <si>
    <t>几十万读多个学历。</t>
  </si>
  <si>
    <t>八、如果我是你，我会形成这样的“个人实验室”</t>
  </si>
  <si>
    <t>家里：</t>
  </si>
  <si>
    <t>一个桌子：</t>
  </si>
  <si>
    <t>工业：</t>
  </si>
  <si>
    <t>电气元件</t>
  </si>
  <si>
    <t>金融：</t>
  </si>
  <si>
    <t>电脑：</t>
  </si>
  <si>
    <t>回测系统</t>
  </si>
  <si>
    <t>商业：</t>
  </si>
  <si>
    <t>资料库：</t>
  </si>
  <si>
    <t>财报</t>
  </si>
  <si>
    <t>案例</t>
  </si>
  <si>
    <t>法律</t>
  </si>
  <si>
    <t>每个月输出：</t>
  </si>
  <si>
    <t>一个研究成果。</t>
  </si>
  <si>
    <t>九、最后说一个我认为最重要的策略</t>
  </si>
  <si>
    <t>你的目标其实很大，所以不能按照学生思维：</t>
  </si>
  <si>
    <t>“学完再开始”。</t>
  </si>
  <si>
    <t>应该：</t>
  </si>
  <si>
    <t>边学边产生资产。</t>
  </si>
  <si>
    <t>学PLC：</t>
  </si>
  <si>
    <t>不是为了考试。</t>
  </si>
  <si>
    <t>写：</t>
  </si>
  <si>
    <t>《一个财务人学习自动化后的制造业理解》。</t>
  </si>
  <si>
    <t>学财报：</t>
  </si>
  <si>
    <t>不是为了CPA。</t>
  </si>
  <si>
    <t>做：</t>
  </si>
  <si>
    <t>《60家公司商业分析库》。</t>
  </si>
  <si>
    <t>学量化：</t>
  </si>
  <si>
    <t>不是为了马上赚钱。</t>
  </si>
  <si>
    <t>《个人投资研究系统》。</t>
  </si>
  <si>
    <t>如果我是你，未来3年的核心不是“拿多少证”，而是建立三个别人无法复制的数据库：</t>
  </si>
  <si>
    <t>1. 企业数据库（100家公司研究）</t>
  </si>
  <si>
    <t>2. 产业数据库（制造流程和技术理解）</t>
  </si>
  <si>
    <t>3. 量化数据库（策略和数据模型）</t>
  </si>
  <si>
    <t>证书是门票，数据库才是你的真正资产。你现在的背景（财务+海外+企业经验）其实非常适合走这条路线。</t>
  </si>
  <si>
    <t>核心</t>
    <phoneticPr fontId="2" type="noConversion"/>
  </si>
  <si>
    <t>背</t>
    <phoneticPr fontId="2" type="noConversion"/>
  </si>
  <si>
    <t>脚腕</t>
    <phoneticPr fontId="2" type="noConversion"/>
  </si>
  <si>
    <t>手臂</t>
    <phoneticPr fontId="2" type="noConversion"/>
  </si>
  <si>
    <t>腿</t>
    <phoneticPr fontId="2" type="noConversion"/>
  </si>
  <si>
    <t>踏板</t>
    <phoneticPr fontId="2" type="noConversion"/>
  </si>
  <si>
    <t>单边壶铃踏板</t>
    <phoneticPr fontId="2" type="noConversion"/>
  </si>
  <si>
    <t>提踵</t>
    <phoneticPr fontId="2" type="noConversion"/>
  </si>
  <si>
    <t>保健品</t>
    <phoneticPr fontId="2" type="noConversion"/>
  </si>
  <si>
    <t>鱼油</t>
    <phoneticPr fontId="2" type="noConversion"/>
  </si>
  <si>
    <t>钙片</t>
    <phoneticPr fontId="2" type="noConversion"/>
  </si>
  <si>
    <t>关节灵</t>
    <phoneticPr fontId="2" type="noConversion"/>
  </si>
  <si>
    <t>维生素片</t>
    <phoneticPr fontId="2" type="noConversion"/>
  </si>
  <si>
    <t>每周 4 次正式训练</t>
  </si>
  <si>
    <t>星期</t>
  </si>
  <si>
    <t>训练</t>
  </si>
  <si>
    <t>时间</t>
  </si>
  <si>
    <t>主要目的</t>
  </si>
  <si>
    <t>周一</t>
  </si>
  <si>
    <t>力量 A</t>
  </si>
  <si>
    <t>45–60 min</t>
  </si>
  <si>
    <t>增肌 + 基础力量</t>
  </si>
  <si>
    <t>周二</t>
  </si>
  <si>
    <t>搏击</t>
  </si>
  <si>
    <t>60 min</t>
  </si>
  <si>
    <t>技术 + 少量实战体能</t>
  </si>
  <si>
    <t>周三</t>
  </si>
  <si>
    <t>休息/散步</t>
  </si>
  <si>
    <t>—</t>
  </si>
  <si>
    <t>恢复</t>
  </si>
  <si>
    <t>周四</t>
  </si>
  <si>
    <t>力量 B + 少量爆发</t>
  </si>
  <si>
    <t>力量 + 出力速度</t>
  </si>
  <si>
    <t>周五</t>
  </si>
  <si>
    <t>休息</t>
  </si>
  <si>
    <t>周六</t>
  </si>
  <si>
    <t>搏击/自主技术</t>
  </si>
  <si>
    <t>技术</t>
  </si>
  <si>
    <t>周日</t>
  </si>
  <si>
    <t>① 深蹲</t>
  </si>
  <si>
    <t>3 × 5–8</t>
  </si>
  <si>
    <t>② 卧推 / 俯卧撑负重</t>
  </si>
  <si>
    <t>3 × 6–10</t>
  </si>
  <si>
    <t>③ 划船</t>
  </si>
  <si>
    <t>3 × 8–12</t>
  </si>
  <si>
    <t>④ 罗马尼亚硬拉</t>
  </si>
  <si>
    <t>2 × 6–10</t>
  </si>
  <si>
    <t>⑤ 引体向上 / 高位下拉</t>
  </si>
  <si>
    <t>2–3 × 6–10</t>
  </si>
  <si>
    <t>⑥ 二头 + 三头</t>
  </si>
  <si>
    <t>各2组即可。</t>
  </si>
  <si>
    <t>整个训练：</t>
  </si>
  <si>
    <t>45–60分钟。</t>
  </si>
  <si>
    <t>① 硬拉</t>
  </si>
  <si>
    <t>2–3 × 3–6</t>
  </si>
  <si>
    <t>不要干到力竭。</t>
  </si>
  <si>
    <t>② 保加利亚分腿蹲 / 前蹲</t>
  </si>
  <si>
    <t>③ 上斜卧推 / 哑铃卧推</t>
  </si>
  <si>
    <t>④ 引体向上</t>
  </si>
  <si>
    <t>⑤ 肩部推举</t>
  </si>
  <si>
    <t>⑥ 核心</t>
  </si>
  <si>
    <t>2–3组。</t>
  </si>
  <si>
    <t>这样你全身一周已经得到相当完整的刺激。</t>
  </si>
  <si>
    <t>下肢</t>
  </si>
  <si>
    <t>箱跳</t>
  </si>
  <si>
    <t>立定跳远</t>
  </si>
  <si>
    <t>跳深</t>
  </si>
  <si>
    <t>壶铃摆动</t>
  </si>
  <si>
    <t>上肢</t>
  </si>
  <si>
    <t>爆发俯卧撑</t>
  </si>
  <si>
    <t>药球胸前砸/推</t>
  </si>
  <si>
    <t>药球旋转抛掷</t>
  </si>
  <si>
    <t>全身</t>
  </si>
  <si>
    <t>轻重量抓举类动作</t>
  </si>
  <si>
    <t>如果没有器械：</t>
  </si>
  <si>
    <t>爆发俯卧撑 + 跳跃 + 徒手快速动作</t>
  </si>
  <si>
    <t>力量 B</t>
    <phoneticPr fontId="2" type="noConversion"/>
  </si>
  <si>
    <t>爆发：</t>
  </si>
  <si>
    <t>每周1次，10–15分钟</t>
  </si>
  <si>
    <t>胸</t>
    <phoneticPr fontId="2" type="noConversion"/>
  </si>
  <si>
    <t>肩</t>
    <phoneticPr fontId="2" type="noConversion"/>
  </si>
  <si>
    <t>飞鸟</t>
    <phoneticPr fontId="2" type="noConversion"/>
  </si>
  <si>
    <t>三头</t>
    <phoneticPr fontId="2" type="noConversion"/>
  </si>
  <si>
    <t>二头</t>
    <phoneticPr fontId="2" type="noConversion"/>
  </si>
  <si>
    <t>腰腹</t>
    <phoneticPr fontId="2" type="noConversion"/>
  </si>
  <si>
    <t>手腕</t>
    <phoneticPr fontId="2" type="noConversion"/>
  </si>
  <si>
    <t>肩稳定</t>
    <phoneticPr fontId="2" type="noConversion"/>
  </si>
  <si>
    <t>核心稳定</t>
    <phoneticPr fontId="2" type="noConversion"/>
  </si>
  <si>
    <t>颈椎</t>
    <phoneticPr fontId="2" type="noConversion"/>
  </si>
  <si>
    <t>腿柔韧</t>
    <phoneticPr fontId="2" type="noConversion"/>
  </si>
  <si>
    <t>博雅型人生</t>
  </si>
  <si>
    <t>职业只是谋生方式，知识是骨架，兴趣是血肉，经历是故事，最后形成一个独特的人。</t>
  </si>
  <si>
    <t>未来3年的核心不是“拿多少证”，而是建立三个别人无法复制的数据库：</t>
  </si>
  <si>
    <t>如果我是你，我会形成这样的“个人实验室”</t>
  </si>
  <si>
    <t>工业科技线：</t>
    <phoneticPr fontId="2" type="noConversion"/>
  </si>
  <si>
    <t>财税法商线：</t>
    <phoneticPr fontId="2" type="noConversion"/>
  </si>
  <si>
    <t>电气：</t>
  </si>
  <si>
    <t>电路基础</t>
  </si>
  <si>
    <t>自动化：</t>
  </si>
  <si>
    <t>HMI</t>
  </si>
  <si>
    <t>变频器</t>
  </si>
  <si>
    <t>机械：</t>
  </si>
  <si>
    <t>不需要成为机械工程师。</t>
  </si>
  <si>
    <t>懂：</t>
  </si>
  <si>
    <t>CNC</t>
  </si>
  <si>
    <t>自动生产线</t>
  </si>
  <si>
    <t>你的目标：</t>
  </si>
  <si>
    <t>看到一家制造企业：</t>
  </si>
  <si>
    <t>知道：</t>
  </si>
  <si>
    <t>钱在哪里产生。</t>
  </si>
  <si>
    <t>量化</t>
  </si>
  <si>
    <t>Python（numpy
pandas
matplotlib）</t>
    <phoneticPr fontId="2" type="noConversion"/>
  </si>
  <si>
    <t>自媒体路线</t>
  </si>
  <si>
    <t>多语言路线</t>
  </si>
  <si>
    <t>英语：专业工作水平。</t>
    <phoneticPr fontId="2" type="noConversion"/>
  </si>
  <si>
    <t>德语：B2</t>
    <phoneticPr fontId="2" type="noConversion"/>
  </si>
  <si>
    <t>PLC学习</t>
  </si>
  <si>
    <t>工厂参观</t>
  </si>
  <si>
    <t>财务分析企业</t>
  </si>
  <si>
    <t>读书</t>
  </si>
  <si>
    <t>量化投资</t>
  </si>
  <si>
    <t>德国工业</t>
  </si>
  <si>
    <t>不要做泛娱乐。</t>
  </si>
  <si>
    <t>量化投资路线：</t>
    <phoneticPr fontId="2" type="noConversion"/>
  </si>
  <si>
    <t>公司法：</t>
  </si>
  <si>
    <t>优先。</t>
  </si>
  <si>
    <t>股权</t>
  </si>
  <si>
    <t>控制权</t>
  </si>
  <si>
    <t>董事责任</t>
  </si>
  <si>
    <t>股东纠纷</t>
  </si>
  <si>
    <t>并购</t>
  </si>
  <si>
    <t>合同法：</t>
  </si>
  <si>
    <t>买卖合同</t>
  </si>
  <si>
    <t>服务合同</t>
  </si>
  <si>
    <t>投资协议</t>
  </si>
  <si>
    <t>股权转让协议</t>
  </si>
  <si>
    <t>哆喵</t>
    <phoneticPr fontId="2" type="noConversion"/>
  </si>
  <si>
    <t>力量训练
爆发心肺训练
搏击自学</t>
    <phoneticPr fontId="2" type="noConversion"/>
  </si>
  <si>
    <t>登我之山峰，拿我之金牌</t>
    <phoneticPr fontId="2" type="noConversion"/>
  </si>
  <si>
    <t>健康精力/形象</t>
    <phoneticPr fontId="2" type="noConversion"/>
  </si>
  <si>
    <t>武术/运动</t>
    <phoneticPr fontId="2" type="noConversion"/>
  </si>
  <si>
    <t>力量训练
爆发心肺训练
搏击自学
武当剑术</t>
    <phoneticPr fontId="2" type="noConversion"/>
  </si>
  <si>
    <t>力量训练
爆发心肺训练
搏击自学
鞭杆</t>
    <phoneticPr fontId="2" type="noConversion"/>
  </si>
  <si>
    <t>周作人</t>
    <phoneticPr fontId="2" type="noConversion"/>
  </si>
  <si>
    <t>夏目漱石</t>
    <phoneticPr fontId="2" type="noConversion"/>
  </si>
  <si>
    <t>表达/为人处世</t>
    <phoneticPr fontId="2" type="noConversion"/>
  </si>
  <si>
    <t>项目1-我需要（金融学习-经济政治历史地理）
项目2-我需要（商业财报分析/商业运作/行业原理）
项目3-我需要（技能学习-围绕自媒体制作工具/30天挑战）
项目4-英语学习
项目5-阅读分享再创作
（完成项目闭环-制作视频，运营）</t>
    <phoneticPr fontId="2" type="noConversion"/>
  </si>
  <si>
    <t>藏拙/务实/真诚/实力
幽默表达</t>
    <phoneticPr fontId="2" type="noConversion"/>
  </si>
  <si>
    <t>第一：练“延迟反应”</t>
  </si>
  <si>
    <t>这是我最推荐你的。</t>
  </si>
  <si>
    <r>
      <t>以后遇到让你不爽的人或者事情，</t>
    </r>
    <r>
      <rPr>
        <b/>
        <sz val="11"/>
        <color theme="1"/>
        <rFont val="等线"/>
        <scheme val="minor"/>
      </rPr>
      <t>不要要求自己“不生气”</t>
    </r>
    <r>
      <rPr>
        <sz val="11"/>
        <color theme="1"/>
        <rFont val="等线"/>
        <family val="2"/>
        <charset val="134"/>
        <scheme val="minor"/>
      </rPr>
      <t>。</t>
    </r>
  </si>
  <si>
    <t>只训练一个动作：</t>
  </si>
  <si>
    <t>生气以后，延迟行动。</t>
  </si>
  <si>
    <t>“我现在很想反驳。”</t>
  </si>
  <si>
    <t>——不反驳，等10分钟。</t>
  </si>
  <si>
    <t>“我现在很想给这个人解释。”</t>
  </si>
  <si>
    <t>——不解释，等30分钟。</t>
  </si>
  <si>
    <t>“我现在特别想发一段话。”</t>
  </si>
  <si>
    <t>——先不发，第二天再看。</t>
  </si>
  <si>
    <r>
      <t>这实际上是在训练非常核心的</t>
    </r>
    <r>
      <rPr>
        <b/>
        <sz val="11"/>
        <color theme="1"/>
        <rFont val="等线"/>
        <scheme val="minor"/>
      </rPr>
      <t>反应抑制（response inhibition）</t>
    </r>
    <r>
      <rPr>
        <sz val="11"/>
        <color theme="1"/>
        <rFont val="等线"/>
        <family val="2"/>
        <charset val="134"/>
        <scheme val="minor"/>
      </rPr>
      <t>。</t>
    </r>
  </si>
  <si>
    <t>而且它比“我要控制情绪”容易得多。</t>
  </si>
  <si>
    <t>第二：训练自己区分“判断”和“行动”</t>
  </si>
  <si>
    <t>你甚至可以形成一句非常机械的自问：</t>
  </si>
  <si>
    <t>“我认为他错了，然后呢？”</t>
  </si>
  <si>
    <t>这个问题非常厉害。</t>
  </si>
  <si>
    <t>因为很多冲突其实没有第二步。</t>
  </si>
  <si>
    <t>“这个人说话很蠢。”</t>
  </si>
  <si>
    <t>——然后呢？</t>
  </si>
  <si>
    <t>“这个人养猫的方法我觉得不对。”</t>
  </si>
  <si>
    <t>“这个人对我的人生指手画脚。”</t>
  </si>
  <si>
    <t>如果答案是：</t>
  </si>
  <si>
    <t>“没什么，然后。”</t>
  </si>
  <si>
    <t>那就结束。</t>
  </si>
  <si>
    <t>你的大脑可以继续保留这个判断，但不需要把判断转换成行为。</t>
  </si>
  <si>
    <t>第三：训练“第二解释”</t>
  </si>
  <si>
    <t>你特别适合练这个。</t>
  </si>
  <si>
    <t>当你看到一个你无法理解的行为时，强迫自己想：</t>
  </si>
  <si>
    <t>“除了我现在的解释，还有什么解释？”</t>
  </si>
  <si>
    <t>“这个人为什么突然不联系我？”</t>
  </si>
  <si>
    <t>第一解释：</t>
  </si>
  <si>
    <t>他不重视我了。</t>
  </si>
  <si>
    <t>第二解释：</t>
  </si>
  <si>
    <t>他最近生活发生变化。</t>
  </si>
  <si>
    <t>第三解释：</t>
  </si>
  <si>
    <t>他在刻意保持距离。</t>
  </si>
  <si>
    <t>第四解释：</t>
  </si>
  <si>
    <t>他单纯没精力维持关系。</t>
  </si>
  <si>
    <t>注意，这并不是让你变成一个“什么都替别人找借口”的人。</t>
  </si>
  <si>
    <r>
      <t>而是防止大脑在信息不足的时候</t>
    </r>
    <r>
      <rPr>
        <b/>
        <sz val="11"/>
        <color theme="1"/>
        <rFont val="等线"/>
        <scheme val="minor"/>
      </rPr>
      <t>过早锁定结论</t>
    </r>
    <r>
      <rPr>
        <sz val="11"/>
        <color theme="1"/>
        <rFont val="等线"/>
        <family val="2"/>
        <charset val="134"/>
        <scheme val="minor"/>
      </rPr>
      <t>。</t>
    </r>
  </si>
  <si>
    <t>这属于非常重要的认知灵活性。</t>
  </si>
  <si>
    <t>第四：减少长期高唤醒状态</t>
  </si>
  <si>
    <t>这一点可能比任何“开发前额叶”的训练都重要。</t>
  </si>
  <si>
    <t>你现在同时面对很多学习目标、职业问题、人生问题，又曾经把运动训练做到很疲劳。</t>
  </si>
  <si>
    <t>你的大脑如果长期处于：</t>
  </si>
  <si>
    <t>学习 → 焦虑 → 训练 → 疲劳 → 睡眠 → 再学习</t>
  </si>
  <si>
    <t>那么你会感觉自己：</t>
  </si>
  <si>
    <t>耐心降低</t>
  </si>
  <si>
    <t>容易烦</t>
  </si>
  <si>
    <t>注意力下降</t>
  </si>
  <si>
    <t>更容易钻牛角尖</t>
  </si>
  <si>
    <t>对别人容忍度降低</t>
  </si>
  <si>
    <t>更想马上解决问题</t>
  </si>
  <si>
    <t>这时候不要把它解释成：</t>
  </si>
  <si>
    <t>“我的前额叶坏了。”</t>
  </si>
  <si>
    <t>更可能是：</t>
  </si>
  <si>
    <t>我的认知控制系统已经疲劳了。</t>
  </si>
  <si>
    <t>所以你最近从“把自己练得很累”转向“不过度疲劳的训练”，其实是个很好的方向。</t>
  </si>
  <si>
    <t>第五：培养一个非常重要的能力——“无关紧要感”</t>
  </si>
  <si>
    <t>这个甚至比所谓情绪控制更高级。</t>
  </si>
  <si>
    <t>你可以慢慢练习：</t>
  </si>
  <si>
    <t>不是所有错误都需要纠正。</t>
  </si>
  <si>
    <t>不是所有蠢话都需要反驳。</t>
  </si>
  <si>
    <t>不是所有误解都需要澄清。</t>
  </si>
  <si>
    <t>不是所有讨厌的人都需要处理。</t>
  </si>
  <si>
    <t>不是所有事情都值得占用我的认知资源。</t>
  </si>
  <si>
    <t>这实际上与你现在越来越喜欢独处、看书、学习、健身、观察猫这些事情非常契合。</t>
  </si>
  <si>
    <t>你的目标不是变成一个“没有脾气的人”。</t>
  </si>
  <si>
    <t>拥有脾气，但是决定脾气什么时候值得使用。</t>
  </si>
  <si>
    <t>理工科技/AI</t>
    <phoneticPr fontId="2" type="noConversion"/>
  </si>
  <si>
    <t>做一套财务管理自动化系统</t>
    <phoneticPr fontId="2" type="noConversion"/>
  </si>
  <si>
    <t>每日听说读写/英语-IELTS8</t>
    <phoneticPr fontId="2" type="noConversion"/>
  </si>
  <si>
    <t>藏拙-不否定/不建议/不讲课/不输出观点/不聊自己
（对于聊到自己，就简单回应，绝不解释；对于聊到其他则回应有道理/对/优秀）</t>
    <phoneticPr fontId="2" type="noConversion"/>
  </si>
  <si>
    <t>藏拙-不否定/不建议/不讲课/不输出观点/不聊自己
（对于聊到自己，就简单回应，绝不解释；对于聊到其他则回应有道理/对/优秀）
结构化表达</t>
    <phoneticPr fontId="2" type="noConversion"/>
  </si>
  <si>
    <t>吃睡
戒手机护眼
护肤/表情管理
体态管理/动作管理
语言管理</t>
    <phoneticPr fontId="2" type="noConversion"/>
  </si>
  <si>
    <t>吃睡
运动
看书</t>
    <phoneticPr fontId="2" type="noConversion"/>
  </si>
  <si>
    <t>找商业机会+找工作机会</t>
    <phoneticPr fontId="2" type="noConversion"/>
  </si>
  <si>
    <t>技能体系2</t>
  </si>
  <si>
    <t>技能体系3</t>
  </si>
  <si>
    <t>技能体系4</t>
  </si>
  <si>
    <t>技能体系5</t>
  </si>
  <si>
    <t>日语 E1</t>
    <phoneticPr fontId="2" type="noConversion"/>
  </si>
  <si>
    <t>限制性看视频</t>
    <phoneticPr fontId="2" type="noConversion"/>
  </si>
  <si>
    <t>限制时间</t>
    <phoneticPr fontId="2" type="noConversion"/>
  </si>
  <si>
    <t>每周固定时间看</t>
    <phoneticPr fontId="2" type="noConversion"/>
  </si>
  <si>
    <t>只看自己订阅</t>
    <phoneticPr fontId="2" type="noConversion"/>
  </si>
  <si>
    <t>不看评论</t>
    <phoneticPr fontId="2" type="noConversion"/>
  </si>
  <si>
    <t>不看不想看的</t>
    <phoneticPr fontId="2" type="noConversion"/>
  </si>
  <si>
    <t>当做搜索工具看</t>
    <phoneticPr fontId="2" type="noConversion"/>
  </si>
  <si>
    <t>财税法务实</t>
    <phoneticPr fontId="2" type="noConversion"/>
  </si>
  <si>
    <t>吃睡
戒手机护眼
护肤/表情管理</t>
    <phoneticPr fontId="2" type="noConversion"/>
  </si>
  <si>
    <t>吃睡
戒手机护眼
护肤/表情管理
体态管理</t>
    <phoneticPr fontId="2" type="noConversion"/>
  </si>
  <si>
    <t>吃睡
戒手机护眼
护肤/表情管理
体态管理/动作管理</t>
    <phoneticPr fontId="2" type="noConversion"/>
  </si>
  <si>
    <t>早睡早起
干净饮食
护眼
护肤</t>
    <phoneticPr fontId="2" type="noConversion"/>
  </si>
  <si>
    <t>练武/训练</t>
    <phoneticPr fontId="2" type="noConversion"/>
  </si>
  <si>
    <t>法考-客观
09:00-12:00 卷1
14:30-17:30 卷2</t>
    <phoneticPr fontId="2" type="noConversion"/>
  </si>
  <si>
    <t>法考客出成绩</t>
    <phoneticPr fontId="2" type="noConversion"/>
  </si>
  <si>
    <t>武当逍遥掌学习1</t>
    <phoneticPr fontId="2" type="noConversion"/>
  </si>
  <si>
    <t>武当逍遥掌学习2</t>
  </si>
  <si>
    <t>武当逍遥掌学习3</t>
  </si>
  <si>
    <t>武当逍遥掌学习4</t>
  </si>
  <si>
    <t>武当逍遥掌学习5</t>
  </si>
  <si>
    <t>武当逍遥掌学习6</t>
  </si>
  <si>
    <t>藏拙-不否定/不建议/不讲课/不输出观点/不聊自己
（聊到自己-就简单回应，绝不解释；其他-有道理/对/优秀）</t>
    <phoneticPr fontId="2" type="noConversion"/>
  </si>
  <si>
    <t>备考法考主观</t>
    <phoneticPr fontId="2" type="noConversion"/>
  </si>
  <si>
    <t>法考主观
09:00-13:00</t>
    <phoneticPr fontId="2" type="noConversion"/>
  </si>
  <si>
    <t>完成公司法民法案件库</t>
    <phoneticPr fontId="2" type="noConversion"/>
  </si>
  <si>
    <t>吉他30M</t>
    <phoneticPr fontId="2" type="noConversion"/>
  </si>
  <si>
    <t>武当逍遥掌</t>
    <phoneticPr fontId="2" type="noConversion"/>
  </si>
  <si>
    <t>备考TA-税法I-1</t>
    <phoneticPr fontId="2" type="noConversion"/>
  </si>
  <si>
    <t>备考TA-税法I-3</t>
  </si>
  <si>
    <t>备考TA-税法I-4</t>
  </si>
  <si>
    <t>备考TA-税法I-5</t>
  </si>
  <si>
    <t>备考TA-税法I-6</t>
  </si>
  <si>
    <t>备考TA-税法I-7</t>
  </si>
  <si>
    <t>备考TA-税法II-1</t>
    <phoneticPr fontId="2" type="noConversion"/>
  </si>
  <si>
    <t>备考TA-税法II-2</t>
  </si>
  <si>
    <t>备考TA-税法II-3</t>
  </si>
  <si>
    <t>备考TA-税法II-4</t>
  </si>
  <si>
    <t>备考TA-税法II-5</t>
  </si>
  <si>
    <t>备考TA-税法II-6</t>
  </si>
  <si>
    <t>完成鞭杆1</t>
    <phoneticPr fontId="2" type="noConversion"/>
  </si>
  <si>
    <t>完成鞭杆2</t>
  </si>
  <si>
    <t>完成鞭杆3</t>
  </si>
  <si>
    <t>完成鞭杆4</t>
  </si>
  <si>
    <t>完成鞭杆5</t>
  </si>
  <si>
    <t>鞭杆+逍遥掌</t>
    <phoneticPr fontId="2" type="noConversion"/>
  </si>
  <si>
    <t>完成剑术学习1</t>
    <phoneticPr fontId="2" type="noConversion"/>
  </si>
  <si>
    <t>完成剑术学习2</t>
  </si>
  <si>
    <t>完成剑术学习3</t>
  </si>
  <si>
    <t>完成剑术学习4</t>
  </si>
  <si>
    <t>完成剑术学习5</t>
  </si>
  <si>
    <t>逍遥掌+鞭杆+剑术</t>
    <phoneticPr fontId="2" type="noConversion"/>
  </si>
  <si>
    <t>每日听说读写</t>
    <phoneticPr fontId="2" type="noConversion"/>
  </si>
  <si>
    <t>定项目1</t>
    <phoneticPr fontId="2" type="noConversion"/>
  </si>
  <si>
    <t>定项目2</t>
  </si>
  <si>
    <t>定项目3</t>
  </si>
  <si>
    <t>定项目4</t>
  </si>
  <si>
    <t>定项目5</t>
  </si>
  <si>
    <t>定项目6</t>
  </si>
  <si>
    <t>定项目7</t>
  </si>
  <si>
    <t>数量模型（理工）1</t>
    <phoneticPr fontId="2" type="noConversion"/>
  </si>
  <si>
    <t>数量模型（理工）2</t>
  </si>
  <si>
    <t>数量模型（理工）3</t>
  </si>
  <si>
    <t>数量模型（理工）4</t>
  </si>
  <si>
    <t>数量模型（理工）5</t>
  </si>
  <si>
    <t>数量模型（理工）6</t>
  </si>
  <si>
    <t>数量模型（理工）7</t>
  </si>
  <si>
    <t>数量模型（理工）8</t>
  </si>
  <si>
    <t>数量模型（理工）9</t>
  </si>
  <si>
    <t>数量模型（理工）10</t>
  </si>
  <si>
    <t>数量模型（理工）11</t>
  </si>
  <si>
    <t>数量模型（理工）12</t>
  </si>
  <si>
    <t>数量模型（理工）13</t>
  </si>
  <si>
    <t>数量模型（理工）14</t>
  </si>
  <si>
    <t>数量模型（理工）15</t>
  </si>
  <si>
    <t>数量模型（理工）16</t>
  </si>
  <si>
    <t>数量模型（理工）17</t>
  </si>
  <si>
    <t>数量模型（理工）18</t>
  </si>
  <si>
    <t>数量模型（理工）19</t>
  </si>
  <si>
    <t>数量模型（理工）20</t>
  </si>
  <si>
    <t>精准逻辑模型（综合）1</t>
    <phoneticPr fontId="2" type="noConversion"/>
  </si>
  <si>
    <t>精准逻辑模型（综合）2</t>
  </si>
  <si>
    <t>精准逻辑模型（综合）3</t>
  </si>
  <si>
    <t>精准逻辑模型（综合）4</t>
  </si>
  <si>
    <t>精准逻辑模型（综合）5</t>
  </si>
  <si>
    <t>精准逻辑模型（综合）6</t>
  </si>
  <si>
    <t>精准逻辑模型（综合）7</t>
  </si>
  <si>
    <t>精准逻辑模型（综合）8</t>
  </si>
  <si>
    <t>精准逻辑模型（综合）9</t>
  </si>
  <si>
    <t>精准逻辑模型（综合）10</t>
  </si>
  <si>
    <t>速读（工作）1</t>
    <phoneticPr fontId="2" type="noConversion"/>
  </si>
  <si>
    <t>速读（工作）2</t>
  </si>
  <si>
    <t>速读（工作）3</t>
  </si>
  <si>
    <t>速读（工作）4</t>
  </si>
  <si>
    <t>速读（工作）5</t>
  </si>
  <si>
    <t>速读（工作）6</t>
  </si>
  <si>
    <t>速读（工作）7</t>
  </si>
  <si>
    <t>速读（工作）8</t>
  </si>
  <si>
    <t>速读（工作）9</t>
  </si>
  <si>
    <t>速读（工作）10</t>
  </si>
  <si>
    <t>速读+速算+数量模型+练字+结构化表达</t>
    <phoneticPr fontId="2" type="noConversion"/>
  </si>
  <si>
    <t>完成TA-财会3</t>
  </si>
  <si>
    <t>完成TA-财会4</t>
  </si>
  <si>
    <t>完成TA-财会5</t>
  </si>
  <si>
    <t>完成TA-财会6</t>
  </si>
  <si>
    <t>完成TA-财会7</t>
  </si>
  <si>
    <t>完成TA-财会8</t>
  </si>
  <si>
    <t>备考TA-税法II-7</t>
  </si>
  <si>
    <t>备考TA-涉税服务务实-1</t>
    <phoneticPr fontId="2" type="noConversion"/>
  </si>
  <si>
    <t>备考TA-涉税服务务实-2</t>
  </si>
  <si>
    <t>备考TA-涉税服务务实-3</t>
  </si>
  <si>
    <t>备考TA-涉税服务务实-4</t>
  </si>
  <si>
    <t>备考TA-涉税服务务实-5</t>
  </si>
  <si>
    <t>备考TA-涉税服务务实-6</t>
  </si>
  <si>
    <t>精准逻辑模型（综合）11</t>
  </si>
  <si>
    <t>精准逻辑模型（综合）12</t>
  </si>
  <si>
    <t>精准逻辑模型（综合）13</t>
  </si>
  <si>
    <t>精准逻辑模型（综合）14</t>
  </si>
  <si>
    <t>精准逻辑模型（综合）15</t>
  </si>
  <si>
    <t>精准逻辑模型（综合）16</t>
  </si>
  <si>
    <t>精准逻辑模型（综合）17</t>
  </si>
  <si>
    <t>精准逻辑模型（综合）18</t>
  </si>
  <si>
    <t>精准逻辑模型（综合）19</t>
  </si>
  <si>
    <t>精准逻辑模型（综合）20</t>
  </si>
  <si>
    <t>速读（工作）11</t>
  </si>
  <si>
    <t>速读（工作）12</t>
  </si>
  <si>
    <t>速读（工作）13</t>
  </si>
  <si>
    <t>速读（工作）14</t>
  </si>
  <si>
    <t>速读（工作）15</t>
  </si>
  <si>
    <t>速读（工作）16</t>
  </si>
  <si>
    <t>AI音乐创作</t>
    <phoneticPr fontId="2" type="noConversion"/>
  </si>
  <si>
    <t>09:00-11:30 税法（一）
13:00-15:30 税法（二）
16:30-19:00 涉税服务相关法律</t>
    <phoneticPr fontId="2" type="noConversion"/>
  </si>
  <si>
    <t>09:00-11:30 财务与会计
14:00-16:30 涉税服务实务</t>
    <phoneticPr fontId="2" type="noConversion"/>
  </si>
  <si>
    <t>制作视频1</t>
    <phoneticPr fontId="2" type="noConversion"/>
  </si>
  <si>
    <t>制作视频2</t>
  </si>
  <si>
    <t>制作视频3</t>
  </si>
  <si>
    <t>制作视频4</t>
  </si>
  <si>
    <t>制作视频5</t>
  </si>
  <si>
    <t>制作视频6</t>
  </si>
  <si>
    <t>制作视频7</t>
  </si>
  <si>
    <t>制作视频8</t>
  </si>
  <si>
    <t>制作视频9</t>
  </si>
  <si>
    <t>制作视频10</t>
  </si>
  <si>
    <t>制作视频11</t>
  </si>
  <si>
    <t>制作视频12</t>
  </si>
  <si>
    <t>制作视频13</t>
  </si>
  <si>
    <t>制作视频14</t>
  </si>
  <si>
    <t>制作视频15</t>
  </si>
  <si>
    <t>制作视频16</t>
  </si>
  <si>
    <t>制作视频17</t>
  </si>
  <si>
    <t>制作视频18</t>
  </si>
  <si>
    <t>制作视频19</t>
  </si>
  <si>
    <t>制作视频20</t>
  </si>
  <si>
    <t>制作视频21</t>
  </si>
  <si>
    <t>制作视频22</t>
  </si>
  <si>
    <t>制作视频23</t>
  </si>
  <si>
    <t>制作视频24</t>
  </si>
  <si>
    <t>制作视频25</t>
  </si>
  <si>
    <t>制作视频26</t>
  </si>
  <si>
    <t>制作视频27</t>
  </si>
  <si>
    <t>制作视频28</t>
  </si>
  <si>
    <t>制作视频29</t>
  </si>
  <si>
    <t>制作视频30</t>
  </si>
  <si>
    <t>制作视频31</t>
  </si>
  <si>
    <t>制作视频32</t>
  </si>
  <si>
    <t>制作视频33</t>
  </si>
  <si>
    <t>制作视频34</t>
  </si>
  <si>
    <t>制作视频35</t>
  </si>
  <si>
    <t>制作视频36</t>
  </si>
  <si>
    <t>制作视频37</t>
  </si>
  <si>
    <t>制作视频38</t>
  </si>
  <si>
    <t>制作视频39</t>
  </si>
  <si>
    <t>制作视频40</t>
  </si>
  <si>
    <t>制作视频41</t>
  </si>
  <si>
    <t>制作视频42</t>
  </si>
  <si>
    <t>制作视频43</t>
  </si>
  <si>
    <t>制作视频44</t>
  </si>
  <si>
    <t>制作视频45</t>
  </si>
  <si>
    <t>制作视频46</t>
  </si>
  <si>
    <t>制作视频47</t>
  </si>
  <si>
    <t>制作视频48</t>
  </si>
  <si>
    <t>制作视频49</t>
  </si>
  <si>
    <t>制作视频50</t>
  </si>
  <si>
    <t>制作视频51</t>
  </si>
  <si>
    <t>制作视频52</t>
  </si>
  <si>
    <t>制作视频53</t>
  </si>
  <si>
    <t>制作视频54</t>
  </si>
  <si>
    <t>制作视频55</t>
  </si>
  <si>
    <t>制作视频56</t>
  </si>
  <si>
    <t>制作视频57</t>
  </si>
  <si>
    <t>制作视频58</t>
  </si>
  <si>
    <t>制作视频59</t>
  </si>
  <si>
    <t>制作视频60</t>
  </si>
  <si>
    <t>制作视频61</t>
  </si>
  <si>
    <t>制作视频62</t>
  </si>
  <si>
    <t>制作视频63</t>
  </si>
  <si>
    <t>制作视频64</t>
  </si>
  <si>
    <t>制作视频65</t>
  </si>
  <si>
    <t>制作视频66</t>
  </si>
  <si>
    <t>制作视频67</t>
  </si>
  <si>
    <t>数字敏感性训练1（速算+数据感）</t>
    <phoneticPr fontId="2" type="noConversion"/>
  </si>
  <si>
    <t>数字敏感性训练2（速算+数据感）</t>
  </si>
  <si>
    <t>数字敏感性训练3（速算+数据感）</t>
  </si>
  <si>
    <t>数字敏感性训练4（速算+数据感）</t>
  </si>
  <si>
    <t>数字敏感性训练5（速算+数据感）</t>
  </si>
  <si>
    <t>数字敏感性训练6（速算+数据感）</t>
  </si>
  <si>
    <t>数字敏感性训练7（速算+数据感）</t>
  </si>
  <si>
    <t>数字敏感性训练8（速算+数据感）</t>
  </si>
  <si>
    <t>数字敏感性训练9（速算+数据感）</t>
  </si>
  <si>
    <t>数字敏感性训练10（速算+数据感）</t>
  </si>
  <si>
    <t>数字敏感性训练11（速算+数据感）</t>
  </si>
  <si>
    <t>数字敏感性训练12（速算+数据感）</t>
  </si>
  <si>
    <t>数字敏感性训练13（速算+数据感）</t>
  </si>
  <si>
    <t>数字敏感性训练14（速算+数据感）</t>
  </si>
  <si>
    <t>数字敏感性训练15（速算+数据感）</t>
  </si>
  <si>
    <t>数字敏感性训练16（速算+数据感）</t>
  </si>
  <si>
    <t>数字敏感性训练17（速算+数据感）</t>
  </si>
  <si>
    <t>数字敏感性训练18（速算+数据感）</t>
  </si>
  <si>
    <t>数字敏感性训练19（速算+数据感）</t>
  </si>
  <si>
    <t>数字敏感性训练20（速算+数据感）</t>
  </si>
  <si>
    <t>速读训练+结构化表达+练字1</t>
    <phoneticPr fontId="2" type="noConversion"/>
  </si>
  <si>
    <t>速读训练+结构化表达+练字2</t>
  </si>
  <si>
    <t>速读训练+结构化表达+练字3</t>
  </si>
  <si>
    <t>速读训练+结构化表达+练字4</t>
  </si>
  <si>
    <t>速读训练+结构化表达+练字5</t>
  </si>
  <si>
    <t>速读训练+结构化表达+练字6</t>
  </si>
  <si>
    <t>速读训练+结构化表达+练字7</t>
  </si>
  <si>
    <t>速读训练+结构化表达+练字8</t>
  </si>
  <si>
    <t>速读训练+结构化表达+练字9</t>
  </si>
  <si>
    <t>速读训练+结构化表达+练字10</t>
  </si>
  <si>
    <t>速读训练+结构化表达+练字11</t>
  </si>
  <si>
    <t>速读训练+结构化表达+练字12</t>
  </si>
  <si>
    <t>速读训练+结构化表达+练字13</t>
  </si>
  <si>
    <t>速读训练+结构化表达+练字14</t>
  </si>
  <si>
    <t>速读训练+结构化表达+练字15</t>
  </si>
  <si>
    <t>速读训练+结构化表达+练字16</t>
  </si>
  <si>
    <t>速读训练+结构化表达+练字17</t>
  </si>
  <si>
    <t>速读训练+结构化表达+练字18</t>
  </si>
  <si>
    <t>速读训练+结构化表达+练字19</t>
  </si>
  <si>
    <t>速读训练+结构化表达+练字20</t>
  </si>
  <si>
    <t>速读训练+结构化表达+练字21</t>
  </si>
  <si>
    <t>速读训练+结构化表达+练字22</t>
  </si>
  <si>
    <t>速读训练+结构化表达+练字23</t>
  </si>
  <si>
    <t>速读训练+结构化表达+练字24</t>
  </si>
  <si>
    <t>速读训练+结构化表达+练字25</t>
  </si>
  <si>
    <t>速读训练+结构化表达+练字26</t>
  </si>
  <si>
    <t>速读训练+结构化表达+练字27</t>
  </si>
  <si>
    <t>速读训练+结构化表达+练字28</t>
  </si>
  <si>
    <t>速读训练+结构化表达+练字29</t>
  </si>
  <si>
    <t>速读训练+结构化表达+练字30</t>
  </si>
  <si>
    <t>速读训练+结构化表达+练字31</t>
  </si>
  <si>
    <t>速读训练+结构化表达+练字32</t>
  </si>
  <si>
    <t>速读训练+结构化表达+练字33</t>
  </si>
  <si>
    <t>速读训练+结构化表达+练字34</t>
  </si>
  <si>
    <t>速读训练+结构化表达+练字35</t>
  </si>
  <si>
    <t>速读训练+结构化表达+练字36</t>
  </si>
  <si>
    <t>速读训练+结构化表达+练字37</t>
  </si>
  <si>
    <t>速读训练+结构化表达+练字38</t>
  </si>
  <si>
    <t>速读训练+结构化表达+练字39</t>
  </si>
  <si>
    <t>速读训练+结构化表达+练字40</t>
  </si>
  <si>
    <t>速读训练+结构化表达+练字41</t>
  </si>
  <si>
    <t>速读训练+结构化表达+练字42</t>
  </si>
  <si>
    <t>速读训练+结构化表达+练字43</t>
  </si>
  <si>
    <t>速读训练+结构化表达+练字44</t>
  </si>
  <si>
    <t>速读训练+结构化表达+练字45</t>
  </si>
  <si>
    <t>速读训练+结构化表达+练字46</t>
  </si>
  <si>
    <t>速读训练+结构化表达+练字47</t>
  </si>
  <si>
    <t>速读训练+结构化表达+练字48</t>
  </si>
  <si>
    <t>速读训练+结构化表达+练字49</t>
  </si>
  <si>
    <t>速读训练+结构化表达+练字50</t>
  </si>
  <si>
    <t>速读训练+结构化表达+练字51</t>
  </si>
  <si>
    <t>速读训练+结构化表达+练字52</t>
  </si>
  <si>
    <t>速读训练+结构化表达+练字53</t>
  </si>
  <si>
    <t>速读训练+结构化表达+练字54</t>
  </si>
  <si>
    <t>速读训练+结构化表达+练字55</t>
  </si>
  <si>
    <t>速读训练+结构化表达+练字56</t>
  </si>
  <si>
    <t>速读训练+结构化表达+练字57</t>
  </si>
  <si>
    <t>速读训练+结构化表达+练字58</t>
  </si>
  <si>
    <t>速读训练+结构化表达+练字59</t>
  </si>
  <si>
    <t>速读训练+结构化表达+练字60</t>
  </si>
  <si>
    <t>速读训练+结构化表达+练字61</t>
  </si>
  <si>
    <t>速读训练+结构化表达+练字62</t>
  </si>
  <si>
    <t>速读训练+结构化表达+练字63</t>
  </si>
  <si>
    <t>速读训练+结构化表达+练字64</t>
  </si>
  <si>
    <t>速读训练+结构化表达+练字65</t>
  </si>
  <si>
    <t>速读训练+结构化表达+练字66</t>
  </si>
  <si>
    <t>速读训练+结构化表达+练字67</t>
  </si>
  <si>
    <t>速读训练+结构化表达+练字68</t>
  </si>
  <si>
    <t>速读训练+结构化表达+练字69</t>
  </si>
  <si>
    <t>速读训练+结构化表达+练字70</t>
  </si>
  <si>
    <t>速读训练+结构化表达+练字71</t>
  </si>
  <si>
    <t>速读训练+结构化表达+练字72</t>
  </si>
  <si>
    <t>速读训练+结构化表达+练字73</t>
  </si>
  <si>
    <t>速读训练+结构化表达+练字74</t>
  </si>
  <si>
    <t>速读训练+结构化表达+练字75</t>
  </si>
  <si>
    <t>速读训练+结构化表达+练字76</t>
  </si>
  <si>
    <t>公司分析积累
财报分析积累
财务模型积累
税务模型积累
税务案例积累
1</t>
    <phoneticPr fontId="2" type="noConversion"/>
  </si>
  <si>
    <t>公司分析积累
财报分析积累
财务模型积累
税务模型积累
税务案例积累
2</t>
  </si>
  <si>
    <t>公司分析积累
财报分析积累
财务模型积累
税务模型积累
税务案例积累
3</t>
  </si>
  <si>
    <t>公司分析积累
财报分析积累
财务模型积累
税务模型积累
税务案例积累
4</t>
  </si>
  <si>
    <t>公司分析积累
财报分析积累
财务模型积累
税务模型积累
税务案例积累
5</t>
  </si>
  <si>
    <t>公司分析积累
财报分析积累
财务模型积累
税务模型积累
税务案例积累
6</t>
  </si>
  <si>
    <t>公司分析积累
财报分析积累
财务模型积累
税务模型积累
税务案例积累
7</t>
  </si>
  <si>
    <t>公司分析积累
财报分析积累
财务模型积累
税务模型积累
税务案例积累
8</t>
  </si>
  <si>
    <t>公司分析积累
财报分析积累
财务模型积累
税务模型积累
税务案例积累
9</t>
  </si>
  <si>
    <t>公司分析积累
财报分析积累
财务模型积累
税务模型积累
税务案例积累
10</t>
  </si>
  <si>
    <t>公司分析积累
财报分析积累
财务模型积累
税务模型积累
税务案例积累
11</t>
  </si>
  <si>
    <t>公司分析积累
财报分析积累
财务模型积累
税务模型积累
税务案例积累
12</t>
  </si>
  <si>
    <t>公司分析积累
财报分析积累
财务模型积累
税务模型积累
税务案例积累
13</t>
  </si>
  <si>
    <t>公司分析积累
财报分析积累
财务模型积累
税务模型积累
税务案例积累
14</t>
  </si>
  <si>
    <t>公司分析积累
财报分析积累
财务模型积累
税务模型积累
税务案例积累
15</t>
  </si>
  <si>
    <t>公司分析积累
财报分析积累
财务模型积累
税务模型积累
税务案例积累
16</t>
  </si>
  <si>
    <t>公司分析积累
财报分析积累
财务模型积累
税务模型积累
税务案例积累
17</t>
  </si>
  <si>
    <t>公司分析积累
财报分析积累
财务模型积累
税务模型积累
税务案例积累
18</t>
  </si>
  <si>
    <t>公司分析积累
财报分析积累
财务模型积累
税务模型积累
税务案例积累
19</t>
  </si>
  <si>
    <t>公司分析积累
财报分析积累
财务模型积累
税务模型积累
税务案例积累
20</t>
  </si>
  <si>
    <t>公司分析积累
财报分析积累
财务模型积累
税务模型积累
税务案例积累
21</t>
  </si>
  <si>
    <t>公司分析积累
财报分析积累
财务模型积累
税务模型积累
税务案例积累
22</t>
  </si>
  <si>
    <t>公司分析积累
财报分析积累
财务模型积累
税务模型积累
税务案例积累
23</t>
  </si>
  <si>
    <t>公司分析积累
财报分析积累
财务模型积累
税务模型积累
税务案例积累
24</t>
  </si>
  <si>
    <t>公司分析积累
财报分析积累
财务模型积累
税务模型积累
税务案例积累
25</t>
  </si>
  <si>
    <t>公司分析积累
财报分析积累
财务模型积累
税务模型积累
税务案例积累
26</t>
  </si>
  <si>
    <t>公司分析积累
财报分析积累
财务模型积累
税务模型积累
税务案例积累
27</t>
  </si>
  <si>
    <t>公司分析积累
财报分析积累
财务模型积累
税务模型积累
税务案例积累
28</t>
  </si>
  <si>
    <t>公司分析积累
财报分析积累
财务模型积累
税务模型积累
税务案例积累
29</t>
  </si>
  <si>
    <t>公司分析积累
财报分析积累
财务模型积累
税务模型积累
税务案例积累
30</t>
  </si>
  <si>
    <t>公司分析积累
财报分析积累
财务模型积累
税务模型积累
税务案例积累
制作财务自媒体1</t>
    <phoneticPr fontId="2" type="noConversion"/>
  </si>
  <si>
    <t>公司分析积累
财报分析积累
财务模型积累
税务模型积累
税务案例积累
制作财务自媒体2</t>
  </si>
  <si>
    <t>公司分析积累
财报分析积累
财务模型积累
税务模型积累
税务案例积累
制作财务自媒体3</t>
  </si>
  <si>
    <t>公司分析积累
财报分析积累
财务模型积累
税务模型积累
税务案例积累
制作财务自媒体4</t>
  </si>
  <si>
    <t>公司分析积累
财报分析积累
财务模型积累
税务模型积累
税务案例积累
制作财务自媒体5</t>
  </si>
  <si>
    <t>公司分析积累
财报分析积累
财务模型积累
税务模型积累
税务案例积累
制作财务自媒体6</t>
  </si>
  <si>
    <t>公司分析积累
财报分析积累
财务模型积累
税务模型积累
税务案例积累
制作财务自媒体7</t>
  </si>
  <si>
    <t>公司分析积累
财报分析积累
财务模型积累
税务模型积累
税务案例积累
制作财务自媒体8</t>
  </si>
  <si>
    <t>公司分析积累
财报分析积累
财务模型积累
税务模型积累
税务案例积累
制作财务自媒体9</t>
  </si>
  <si>
    <t>公司分析积累
财报分析积累
财务模型积累
税务模型积累
税务案例积累
制作财务自媒体10</t>
  </si>
  <si>
    <t>公司分析积累
财报分析积累
财务模型积累
税务模型积累
税务案例积累
制作财务自媒体11</t>
  </si>
  <si>
    <t>公司分析积累
财报分析积累
财务模型积累
税务模型积累
税务案例积累
制作财务自媒体12</t>
  </si>
  <si>
    <t>公司分析积累
财报分析积累
财务模型积累
税务模型积累
税务案例积累
制作财务自媒体13</t>
  </si>
  <si>
    <t>公司分析积累
财报分析积累
财务模型积累
税务模型积累
税务案例积累
制作财务自媒体14</t>
  </si>
  <si>
    <t>公司分析积累
财报分析积累
财务模型积累
税务模型积累
税务案例积累
制作财务自媒体15</t>
  </si>
  <si>
    <t>公司分析积累
财报分析积累
财务模型积累
税务模型积累
税务案例积累
制作财务自媒体16</t>
  </si>
  <si>
    <t>财务内容自媒体</t>
    <phoneticPr fontId="2" type="noConversion"/>
  </si>
  <si>
    <t>量化金融V1.0</t>
    <phoneticPr fontId="2" type="noConversion"/>
  </si>
  <si>
    <t>创作内容自媒体</t>
    <phoneticPr fontId="2" type="noConversion"/>
  </si>
  <si>
    <t>英语水平积累</t>
    <phoneticPr fontId="2" type="noConversion"/>
  </si>
  <si>
    <t>公考能力积累</t>
    <phoneticPr fontId="2" type="noConversion"/>
  </si>
  <si>
    <t>法考证+中级（经济法）+税务师证</t>
    <phoneticPr fontId="2" type="noConversion"/>
  </si>
  <si>
    <t>焦虑消失/享受认定人生</t>
    <phoneticPr fontId="2" type="noConversion"/>
  </si>
  <si>
    <t>焦虑消失1-每日必须在图书馆学习工作；
焦虑消失2-每日必须完成学习任务；
焦虑消失3-每日必须有产出，完成工作任务。
享受生活4-完成任务后，认真阅读练琴训练，享受人生</t>
    <phoneticPr fontId="2" type="noConversion"/>
  </si>
  <si>
    <t>徒步-南太行</t>
    <phoneticPr fontId="2" type="noConversion"/>
  </si>
  <si>
    <t>完成TA-财会2</t>
    <phoneticPr fontId="2" type="noConversion"/>
  </si>
  <si>
    <t>旅行1</t>
    <phoneticPr fontId="2" type="noConversion"/>
  </si>
  <si>
    <t>旅行2
中级出成绩</t>
    <phoneticPr fontId="2" type="noConversion"/>
  </si>
  <si>
    <t>旅行3</t>
  </si>
  <si>
    <t>旅行3</t>
    <phoneticPr fontId="2" type="noConversion"/>
  </si>
  <si>
    <t>备考TA-税法I-2</t>
  </si>
  <si>
    <t>备考TA-涉税服务务实-7</t>
  </si>
  <si>
    <t>旅行2</t>
  </si>
  <si>
    <t>AI动画制作</t>
    <phoneticPr fontId="2" type="noConversion"/>
  </si>
  <si>
    <t>日慎一日，以求事之济，一怀焦愤之念，则恐无成，千万忍耐，千万忍耐。 久而敬之。</t>
    <phoneticPr fontId="2" type="noConversion"/>
  </si>
  <si>
    <t>南太行徒步</t>
    <phoneticPr fontId="2" type="noConversion"/>
  </si>
  <si>
    <t>阅读/旅行</t>
    <phoneticPr fontId="2" type="noConversion"/>
  </si>
  <si>
    <t>水島爾保布</t>
  </si>
  <si>
    <t>高羅佩</t>
    <phoneticPr fontId="2" type="noConversion"/>
  </si>
  <si>
    <t>百鬼園</t>
    <phoneticPr fontId="2" type="noConversion"/>
  </si>
  <si>
    <t>坂の上の雲</t>
    <phoneticPr fontId="2" type="noConversion"/>
  </si>
  <si>
    <t>周樹人</t>
    <phoneticPr fontId="2" type="noConversion"/>
  </si>
  <si>
    <t>秋山真之</t>
    <phoneticPr fontId="2" type="noConversion"/>
  </si>
  <si>
    <t xml:space="preserve"> Robert Hans van Gulik Calligraphy</t>
    <phoneticPr fontId="2" type="noConversion"/>
  </si>
  <si>
    <t>高橋是清</t>
    <phoneticPr fontId="2" type="noConversion"/>
  </si>
  <si>
    <t>内田百閒</t>
    <phoneticPr fontId="2" type="noConversion"/>
  </si>
  <si>
    <t>肉筆</t>
    <phoneticPr fontId="2" type="noConversion"/>
  </si>
  <si>
    <t>親筆</t>
    <phoneticPr fontId="2" type="noConversion"/>
  </si>
  <si>
    <t>技能体系1-财税法</t>
    <phoneticPr fontId="2" type="noConversion"/>
  </si>
  <si>
    <t>CPA-刷题；
理论法</t>
    <phoneticPr fontId="2" type="noConversion"/>
  </si>
  <si>
    <t>CPA-战略
行政法</t>
    <phoneticPr fontId="2" type="noConversion"/>
  </si>
  <si>
    <t>CPA-税法
法考-刑诉</t>
    <phoneticPr fontId="2" type="noConversion"/>
  </si>
  <si>
    <t>CPA-审计
法考-民诉</t>
    <phoneticPr fontId="2" type="noConversion"/>
  </si>
  <si>
    <t>CPA-经济法
法考-商经法</t>
    <phoneticPr fontId="2" type="noConversion"/>
  </si>
  <si>
    <t>CPA-会计
法考-民法</t>
    <phoneticPr fontId="2" type="noConversion"/>
  </si>
  <si>
    <t>CPA-财管
法考-刑法</t>
    <phoneticPr fontId="2" type="noConversion"/>
  </si>
  <si>
    <t>CPA-刷题
三国法
CPA考试</t>
    <phoneticPr fontId="2" type="noConversion"/>
  </si>
  <si>
    <t>法考-客观</t>
    <phoneticPr fontId="2" type="noConversion"/>
  </si>
  <si>
    <t>法考-主观</t>
    <phoneticPr fontId="2" type="noConversion"/>
  </si>
  <si>
    <t>税务师-税法1/税法2/务实</t>
    <phoneticPr fontId="2" type="noConversion"/>
  </si>
  <si>
    <t>税务师-财会/法律</t>
    <phoneticPr fontId="2" type="noConversion"/>
  </si>
  <si>
    <t>税务筹划案例库/股权设计库</t>
    <phoneticPr fontId="2" type="noConversion"/>
  </si>
  <si>
    <t>公司流程设计库
公司规章制度库</t>
    <phoneticPr fontId="2" type="noConversion"/>
  </si>
  <si>
    <t>公司分析报告/财报拆解报告
合同法实案例库
公司法案例库</t>
    <phoneticPr fontId="2" type="noConversion"/>
  </si>
  <si>
    <t>财务模型设计库</t>
    <phoneticPr fontId="2" type="noConversion"/>
  </si>
  <si>
    <t>确定项目</t>
    <phoneticPr fontId="2" type="noConversion"/>
  </si>
  <si>
    <t>项目2 - 省考 - 最高效方法+提升实际能力
结构化表达（自媒体）
精准逻辑模型（综合）
数量模型（理工）
数字敏感/速算（财商）
速读（工作）
书法（工作）
历史地理人文政治常识</t>
    <phoneticPr fontId="2" type="noConversion"/>
  </si>
  <si>
    <t>项目1 - 国考 - 最高效方法+提升实际能力
结构化表达（自媒体）
精准逻辑模型（综合）
数量模型（理工）
数字敏感/速算（财商）
速读（工作）
书法（工作）
历史地理人文政治常识</t>
    <phoneticPr fontId="2" type="noConversion"/>
  </si>
  <si>
    <t>中国历史+经济数据与战争史</t>
    <phoneticPr fontId="2" type="noConversion"/>
  </si>
  <si>
    <t>穆斯林历史+中东历史+经济数据与战争史</t>
    <phoneticPr fontId="2" type="noConversion"/>
  </si>
  <si>
    <t>美国历史</t>
    <phoneticPr fontId="2" type="noConversion"/>
  </si>
  <si>
    <t>欧洲历史</t>
    <phoneticPr fontId="2" type="noConversion"/>
  </si>
  <si>
    <t>吟月庵</t>
    <phoneticPr fontId="2" type="noConversion"/>
  </si>
  <si>
    <t>Van Gulik signed</t>
    <phoneticPr fontId="2" type="noConversion"/>
  </si>
  <si>
    <t>献呈</t>
    <phoneticPr fontId="2" type="noConversion"/>
  </si>
  <si>
    <t>茜庵/秀幸</t>
    <phoneticPr fontId="2" type="noConversion"/>
  </si>
  <si>
    <t>Van Gulik presentation copy</t>
    <phoneticPr fontId="2" type="noConversion"/>
  </si>
  <si>
    <t>Yin-yüeh-an</t>
    <phoneticPr fontId="2" type="noConversion"/>
  </si>
  <si>
    <t>Korekiyo Takahashi</t>
    <phoneticPr fontId="2" type="noConversion"/>
  </si>
  <si>
    <t>Hyakken Uchida</t>
  </si>
  <si>
    <t>Akiyama Saneyuki</t>
  </si>
  <si>
    <t>Soseki Natsume</t>
  </si>
  <si>
    <t>署名</t>
    <phoneticPr fontId="2" type="noConversion"/>
  </si>
  <si>
    <t>正岡子規</t>
    <phoneticPr fontId="2" type="noConversion"/>
  </si>
  <si>
    <t>富岡鉄斎</t>
    <phoneticPr fontId="2" type="noConversion"/>
  </si>
  <si>
    <t>魯迅</t>
    <phoneticPr fontId="2" type="noConversion"/>
  </si>
  <si>
    <t>森鷗外</t>
    <phoneticPr fontId="2" type="noConversion"/>
  </si>
  <si>
    <t>做出知识管理系统
做一个捡漏爬虫软件</t>
    <phoneticPr fontId="2" type="noConversion"/>
  </si>
  <si>
    <t>直筆</t>
    <phoneticPr fontId="2" type="noConversion"/>
  </si>
  <si>
    <t>松本清張</t>
    <phoneticPr fontId="2" type="noConversion"/>
  </si>
  <si>
    <t>Matsumoto Seicho</t>
    <phoneticPr fontId="2" type="noConversion"/>
  </si>
  <si>
    <t>自筆草稿</t>
    <phoneticPr fontId="2" type="noConversion"/>
  </si>
  <si>
    <t>黑澤 明</t>
    <phoneticPr fontId="2" type="noConversion"/>
  </si>
  <si>
    <t>黒沢明</t>
    <phoneticPr fontId="2" type="noConversion"/>
  </si>
  <si>
    <t>正岡常規</t>
    <phoneticPr fontId="2" type="noConversion"/>
  </si>
  <si>
    <t>世界各国历史，人物，关键事件，经济与疫病与战争</t>
    <phoneticPr fontId="2" type="noConversion"/>
  </si>
  <si>
    <t>観潮楼主人</t>
  </si>
  <si>
    <t>鷗外漁史</t>
  </si>
  <si>
    <t>千朶山房主人</t>
  </si>
  <si>
    <t>牽舟居士</t>
  </si>
  <si>
    <t>先立业后成家</t>
    <phoneticPr fontId="2" type="noConversion"/>
  </si>
  <si>
    <t> japanischer Schriftsteller</t>
  </si>
  <si>
    <t>Agatha Christie</t>
  </si>
  <si>
    <r>
      <t>アガサ</t>
    </r>
    <r>
      <rPr>
        <sz val="11"/>
        <color rgb="FF0F1115"/>
        <rFont val="等线"/>
        <family val="2"/>
        <scheme val="minor"/>
      </rPr>
      <t>・</t>
    </r>
    <r>
      <rPr>
        <sz val="11"/>
        <color rgb="FF0F1115"/>
        <rFont val="等线"/>
        <scheme val="minor"/>
      </rPr>
      <t>クリスティー</t>
    </r>
  </si>
  <si>
    <t>児玉源太郎</t>
    <phoneticPr fontId="2" type="noConversion"/>
  </si>
  <si>
    <t>智力正常，擅长逻辑推理，不擅长大量记忆。适合把一个事情研究成模型记忆，并且拓展应用。</t>
    <phoneticPr fontId="2" type="noConversion"/>
  </si>
  <si>
    <t>税务师+CPA+法考+ACCA+IELTS8</t>
    <phoneticPr fontId="2" type="noConversion"/>
  </si>
  <si>
    <t>1财税法务实成体系成为专家。
2自媒体做成。
3量化金融做成。
4 积累自己的第一个100万。</t>
    <phoneticPr fontId="2" type="noConversion"/>
  </si>
  <si>
    <t>1够用的金钱</t>
    <phoneticPr fontId="2" type="noConversion"/>
  </si>
  <si>
    <t>2温暖健康的家庭</t>
    <phoneticPr fontId="2" type="noConversion"/>
  </si>
  <si>
    <t>3健康的身体心理</t>
    <phoneticPr fontId="2" type="noConversion"/>
  </si>
  <si>
    <t>4适度自在</t>
    <phoneticPr fontId="2" type="noConversion"/>
  </si>
  <si>
    <t>务实-财税法商</t>
    <phoneticPr fontId="2" type="noConversion"/>
  </si>
  <si>
    <t>特殊项目</t>
    <phoneticPr fontId="2" type="noConversion"/>
  </si>
  <si>
    <t>生活5</t>
  </si>
  <si>
    <t>生活6</t>
  </si>
  <si>
    <t>等漏</t>
    <phoneticPr fontId="2" type="noConversion"/>
  </si>
  <si>
    <t>聖闘士星矢</t>
  </si>
  <si>
    <t>車田正美</t>
    <phoneticPr fontId="2" type="noConversion"/>
  </si>
  <si>
    <t>熊谷守一</t>
    <phoneticPr fontId="2" type="noConversion"/>
  </si>
  <si>
    <t>明石元二郎</t>
  </si>
  <si>
    <t>秋山好古</t>
    <phoneticPr fontId="2" type="noConversion"/>
  </si>
  <si>
    <t>日慎一日</t>
    <phoneticPr fontId="2" type="noConversion"/>
  </si>
  <si>
    <t>《韩诗外传》</t>
  </si>
  <si>
    <t>昨日何生？今日何成？必念帰厚、必念治生；日慎一日、完如金城。</t>
    <phoneticPr fontId="2" type="noConversion"/>
  </si>
  <si>
    <t>日本历史+明治维新+高桥是清+秋山真之+明石原二郎+经济数据与战争史
南太行</t>
    <phoneticPr fontId="2" type="noConversion"/>
  </si>
  <si>
    <t>力量训练
爆发心肺训练
武当逍遥掌</t>
    <phoneticPr fontId="2" type="noConversion"/>
  </si>
  <si>
    <t xml:space="preserve">拳套12oz </t>
    <phoneticPr fontId="2" type="noConversion"/>
  </si>
  <si>
    <t>鼓槌</t>
    <phoneticPr fontId="2" type="noConversion"/>
  </si>
  <si>
    <t>神秘农场包</t>
    <phoneticPr fontId="2" type="noConversion"/>
  </si>
  <si>
    <t>三体</t>
    <phoneticPr fontId="2" type="noConversion"/>
  </si>
  <si>
    <t>三国演义</t>
    <phoneticPr fontId="2" type="noConversion"/>
  </si>
  <si>
    <t>收拾屋子</t>
    <phoneticPr fontId="2" type="noConversion"/>
  </si>
  <si>
    <t>要处理的东西</t>
    <phoneticPr fontId="2" type="noConversion"/>
  </si>
  <si>
    <t>要处理的书</t>
    <phoneticPr fontId="2" type="noConversion"/>
  </si>
  <si>
    <t>书房</t>
    <phoneticPr fontId="2" type="noConversion"/>
  </si>
  <si>
    <t>客厅</t>
    <phoneticPr fontId="2" type="noConversion"/>
  </si>
  <si>
    <t>被子清理</t>
    <phoneticPr fontId="2" type="noConversion"/>
  </si>
  <si>
    <t>烧烤架</t>
    <phoneticPr fontId="2" type="noConversion"/>
  </si>
  <si>
    <t>次卧</t>
    <phoneticPr fontId="2" type="noConversion"/>
  </si>
  <si>
    <t>主卧</t>
    <phoneticPr fontId="2" type="noConversion"/>
  </si>
  <si>
    <t>空间清理</t>
    <phoneticPr fontId="2" type="noConversion"/>
  </si>
  <si>
    <t>储藏室清理</t>
    <phoneticPr fontId="2" type="noConversion"/>
  </si>
  <si>
    <t>阳台</t>
    <phoneticPr fontId="2" type="noConversion"/>
  </si>
  <si>
    <t>厨房</t>
    <phoneticPr fontId="2" type="noConversion"/>
  </si>
  <si>
    <t>浴室</t>
    <phoneticPr fontId="2" type="noConversion"/>
  </si>
  <si>
    <t>财税法</t>
    <phoneticPr fontId="2" type="noConversion"/>
  </si>
  <si>
    <t>杂物</t>
    <phoneticPr fontId="2" type="noConversion"/>
  </si>
  <si>
    <t>英语
阅读-战略
理工科技</t>
    <phoneticPr fontId="2" type="noConversion"/>
  </si>
  <si>
    <t>阅读-休闲</t>
    <phoneticPr fontId="2" type="noConversion"/>
  </si>
  <si>
    <t>生活7</t>
  </si>
  <si>
    <t>生活8</t>
  </si>
  <si>
    <t>手艺</t>
    <phoneticPr fontId="2" type="noConversion"/>
  </si>
  <si>
    <t>森林太郎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</si>
</sst>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¥&quot;#,##0;[Red]&quot;¥&quot;\-#,##0"/>
    <numFmt numFmtId="44" formatCode="_ &quot;¥&quot;* #,##0.00_ ;_ &quot;¥&quot;* \-#,##0.00_ ;_ &quot;¥&quot;* &quot;-&quot;??_ ;_ @_ "/>
    <numFmt numFmtId="176" formatCode="m&quot;月&quot;d&quot;日&quot;;@"/>
    <numFmt numFmtId="177" formatCode="_-[$£-809]* #,##0.00_-;\-[$£-809]* #,##0.00_-;_-[$£-809]* &quot;-&quot;??_-;_-@_-"/>
    <numFmt numFmtId="178" formatCode="yyyy\-mm\-dd;@"/>
    <numFmt numFmtId="179" formatCode="_ [$¥-804]* #,##0.00_ ;_ [$¥-804]* \-#,##0.00_ ;_ [$¥-804]* &quot;-&quot;??_ ;_ @_ "/>
  </numFmts>
  <fonts count="3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scheme val="minor"/>
    </font>
    <font>
      <b/>
      <sz val="11"/>
      <color theme="1"/>
      <name val="等线"/>
      <scheme val="minor"/>
    </font>
    <font>
      <sz val="11"/>
      <name val="等线"/>
      <scheme val="minor"/>
    </font>
    <font>
      <b/>
      <sz val="12"/>
      <name val="等线"/>
      <scheme val="minor"/>
    </font>
    <font>
      <sz val="11"/>
      <color theme="1"/>
      <name val="等线"/>
      <family val="1"/>
      <scheme val="minor"/>
    </font>
    <font>
      <b/>
      <sz val="8"/>
      <name val="等线"/>
      <scheme val="minor"/>
    </font>
    <font>
      <sz val="8"/>
      <name val="等线"/>
      <scheme val="minor"/>
    </font>
    <font>
      <sz val="9"/>
      <color rgb="FF0F1115"/>
      <name val="等线"/>
      <scheme val="minor"/>
    </font>
    <font>
      <sz val="9"/>
      <color theme="1"/>
      <name val="等线"/>
      <scheme val="minor"/>
    </font>
    <font>
      <sz val="9"/>
      <color rgb="FF0F1115"/>
      <name val="Segoe UI"/>
      <family val="2"/>
    </font>
    <font>
      <sz val="9"/>
      <color theme="1"/>
      <name val="Segoe UI"/>
      <family val="2"/>
    </font>
    <font>
      <b/>
      <sz val="24"/>
      <color theme="1"/>
      <name val="等线"/>
      <scheme val="minor"/>
    </font>
    <font>
      <b/>
      <sz val="18"/>
      <color theme="1"/>
      <name val="等线"/>
      <scheme val="minor"/>
    </font>
    <font>
      <b/>
      <sz val="13.5"/>
      <color theme="1"/>
      <name val="等线"/>
      <scheme val="minor"/>
    </font>
    <font>
      <sz val="10"/>
      <color theme="1"/>
      <name val="Arial Unicode MS"/>
      <family val="2"/>
    </font>
    <font>
      <sz val="11"/>
      <color theme="1"/>
      <name val="Arial Unicode MS"/>
      <family val="2"/>
    </font>
    <font>
      <b/>
      <sz val="10"/>
      <color theme="1"/>
      <name val="等线"/>
      <scheme val="minor"/>
    </font>
    <font>
      <sz val="10"/>
      <color theme="1"/>
      <name val="等线"/>
      <scheme val="minor"/>
    </font>
    <font>
      <sz val="10"/>
      <color rgb="FF0F1115"/>
      <name val="等线"/>
      <scheme val="minor"/>
    </font>
    <font>
      <sz val="8"/>
      <color rgb="FF000000"/>
      <name val="Arial"/>
      <family val="2"/>
    </font>
    <font>
      <sz val="8"/>
      <color theme="1"/>
      <name val="等线"/>
      <family val="2"/>
      <charset val="134"/>
      <scheme val="minor"/>
    </font>
    <font>
      <sz val="8"/>
      <color theme="1"/>
      <name val="等线"/>
      <scheme val="minor"/>
    </font>
    <font>
      <b/>
      <sz val="12"/>
      <color theme="1"/>
      <name val="等线"/>
      <scheme val="minor"/>
    </font>
    <font>
      <b/>
      <sz val="8"/>
      <color theme="1"/>
      <name val="等线"/>
      <scheme val="minor"/>
    </font>
    <font>
      <sz val="10"/>
      <color theme="1"/>
      <name val="等线"/>
      <family val="2"/>
      <charset val="134"/>
      <scheme val="minor"/>
    </font>
    <font>
      <sz val="11"/>
      <color rgb="FF0F1115"/>
      <name val="等线"/>
      <scheme val="minor"/>
    </font>
    <font>
      <sz val="11"/>
      <color rgb="FF0F1115"/>
      <name val="等线"/>
      <family val="2"/>
      <scheme val="minor"/>
    </font>
    <font>
      <sz val="11"/>
      <color rgb="FF2F2C2B"/>
      <name val="等线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44" fontId="1" fillId="0" borderId="0" applyFont="0" applyFill="0" applyBorder="0" applyAlignment="0" applyProtection="0">
      <alignment vertical="center"/>
    </xf>
  </cellStyleXfs>
  <cellXfs count="289">
    <xf numFmtId="0" fontId="0" fillId="0" borderId="0" xfId="0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58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58" fontId="3" fillId="0" borderId="1" xfId="0" applyNumberFormat="1" applyFont="1" applyBorder="1" applyAlignment="1">
      <alignment horizontal="center" vertical="center" wrapText="1"/>
    </xf>
    <xf numFmtId="177" fontId="5" fillId="0" borderId="1" xfId="1" applyNumberFormat="1" applyFont="1" applyBorder="1" applyAlignment="1">
      <alignment horizontal="center" vertical="center" wrapText="1"/>
    </xf>
    <xf numFmtId="6" fontId="3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78" fontId="6" fillId="4" borderId="1" xfId="1" applyNumberFormat="1" applyFont="1" applyFill="1" applyBorder="1" applyAlignment="1">
      <alignment horizontal="center" vertical="center" wrapText="1"/>
    </xf>
    <xf numFmtId="178" fontId="6" fillId="0" borderId="1" xfId="1" applyNumberFormat="1" applyFont="1" applyFill="1" applyBorder="1" applyAlignment="1">
      <alignment horizontal="center" vertical="center" wrapText="1"/>
    </xf>
    <xf numFmtId="178" fontId="6" fillId="0" borderId="1" xfId="0" applyNumberFormat="1" applyFont="1" applyBorder="1" applyAlignment="1">
      <alignment horizontal="center" vertical="center" wrapText="1"/>
    </xf>
    <xf numFmtId="178" fontId="6" fillId="4" borderId="1" xfId="0" applyNumberFormat="1" applyFont="1" applyFill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178" fontId="3" fillId="0" borderId="1" xfId="0" applyNumberFormat="1" applyFont="1" applyBorder="1" applyAlignment="1">
      <alignment horizontal="center" vertical="center" wrapText="1"/>
    </xf>
    <xf numFmtId="178" fontId="3" fillId="0" borderId="0" xfId="0" applyNumberFormat="1" applyFont="1" applyAlignment="1">
      <alignment horizontal="center" vertical="center" wrapText="1"/>
    </xf>
    <xf numFmtId="179" fontId="5" fillId="0" borderId="1" xfId="1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179" fontId="9" fillId="0" borderId="0" xfId="1" applyNumberFormat="1" applyFont="1" applyAlignment="1">
      <alignment vertical="center" wrapText="1"/>
    </xf>
    <xf numFmtId="0" fontId="9" fillId="5" borderId="1" xfId="0" applyFont="1" applyFill="1" applyBorder="1" applyAlignment="1">
      <alignment horizontal="center" vertical="center" wrapText="1"/>
    </xf>
    <xf numFmtId="179" fontId="9" fillId="0" borderId="0" xfId="1" applyNumberFormat="1" applyFont="1" applyFill="1" applyAlignment="1">
      <alignment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179" fontId="11" fillId="0" borderId="1" xfId="1" applyNumberFormat="1" applyFont="1" applyBorder="1" applyAlignment="1">
      <alignment vertical="center" wrapText="1"/>
    </xf>
    <xf numFmtId="179" fontId="11" fillId="0" borderId="0" xfId="1" applyNumberFormat="1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79" fontId="11" fillId="0" borderId="1" xfId="1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179" fontId="11" fillId="0" borderId="3" xfId="1" applyNumberFormat="1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9" fillId="7" borderId="1" xfId="0" applyFont="1" applyFill="1" applyBorder="1" applyAlignment="1">
      <alignment horizontal="left" vertical="top" wrapText="1"/>
    </xf>
    <xf numFmtId="179" fontId="9" fillId="0" borderId="1" xfId="1" applyNumberFormat="1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8" fillId="7" borderId="1" xfId="0" applyFont="1" applyFill="1" applyBorder="1" applyAlignment="1">
      <alignment horizontal="left" vertical="top" wrapText="1"/>
    </xf>
    <xf numFmtId="179" fontId="5" fillId="0" borderId="0" xfId="1" applyNumberFormat="1" applyFont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Font="1">
      <alignment vertical="center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0" fillId="0" borderId="1" xfId="0" applyFill="1" applyBorder="1">
      <alignment vertical="center"/>
    </xf>
    <xf numFmtId="0" fontId="3" fillId="0" borderId="7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1" fillId="0" borderId="5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4" fillId="0" borderId="0" xfId="0" applyFont="1">
      <alignment vertical="center"/>
    </xf>
    <xf numFmtId="0" fontId="0" fillId="0" borderId="0" xfId="0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22" fillId="0" borderId="1" xfId="0" applyFont="1" applyBorder="1" applyAlignment="1">
      <alignment vertical="center" wrapText="1"/>
    </xf>
    <xf numFmtId="0" fontId="1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17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20" fillId="6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0" fillId="0" borderId="0" xfId="0" applyFill="1" applyBorder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0" fontId="4" fillId="10" borderId="6" xfId="0" applyFont="1" applyFill="1" applyBorder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23" fillId="9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4" fillId="10" borderId="12" xfId="0" applyFont="1" applyFill="1" applyBorder="1" applyAlignment="1">
      <alignment horizontal="center" vertical="center" wrapText="1"/>
    </xf>
    <xf numFmtId="0" fontId="0" fillId="10" borderId="12" xfId="0" applyFill="1" applyBorder="1" applyAlignment="1">
      <alignment horizontal="center" vertical="center" wrapText="1"/>
    </xf>
    <xf numFmtId="0" fontId="27" fillId="0" borderId="1" xfId="0" applyFont="1" applyBorder="1" applyAlignment="1">
      <alignment vertical="center" wrapText="1"/>
    </xf>
    <xf numFmtId="0" fontId="20" fillId="0" borderId="1" xfId="0" applyFont="1" applyBorder="1" applyAlignment="1">
      <alignment vertical="center" wrapText="1"/>
    </xf>
    <xf numFmtId="0" fontId="14" fillId="0" borderId="0" xfId="0" applyFont="1">
      <alignment vertical="center"/>
    </xf>
    <xf numFmtId="0" fontId="17" fillId="0" borderId="0" xfId="0" applyFont="1">
      <alignment vertical="center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17" fillId="0" borderId="0" xfId="0" applyFont="1" applyAlignment="1">
      <alignment vertical="center" wrapText="1"/>
    </xf>
    <xf numFmtId="46" fontId="0" fillId="0" borderId="0" xfId="0" applyNumberFormat="1" applyAlignment="1">
      <alignment horizontal="left" vertical="center" wrapText="1"/>
    </xf>
    <xf numFmtId="0" fontId="4" fillId="0" borderId="0" xfId="0" applyFont="1" applyAlignment="1">
      <alignment horizontal="left" vertical="center" indent="1"/>
    </xf>
    <xf numFmtId="0" fontId="23" fillId="0" borderId="1" xfId="0" applyFont="1" applyBorder="1" applyAlignment="1">
      <alignment horizontal="center" vertical="center" wrapText="1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 indent="1"/>
    </xf>
    <xf numFmtId="0" fontId="4" fillId="0" borderId="5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16" fillId="6" borderId="0" xfId="0" applyFont="1" applyFill="1">
      <alignment vertical="center"/>
    </xf>
    <xf numFmtId="0" fontId="4" fillId="6" borderId="1" xfId="0" applyFont="1" applyFill="1" applyBorder="1" applyAlignment="1">
      <alignment horizontal="left" vertical="center" indent="1"/>
    </xf>
    <xf numFmtId="0" fontId="23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4" fillId="0" borderId="1" xfId="0" applyFont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4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4" fillId="0" borderId="7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58" fontId="24" fillId="0" borderId="1" xfId="0" applyNumberFormat="1" applyFont="1" applyBorder="1" applyAlignment="1">
      <alignment horizontal="center" vertical="center"/>
    </xf>
    <xf numFmtId="58" fontId="24" fillId="4" borderId="1" xfId="0" applyNumberFormat="1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58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4" fillId="9" borderId="1" xfId="0" applyFont="1" applyFill="1" applyBorder="1" applyAlignment="1">
      <alignment horizontal="center" vertical="center"/>
    </xf>
    <xf numFmtId="0" fontId="24" fillId="9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0" fillId="10" borderId="1" xfId="0" applyFill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6" borderId="0" xfId="0" applyFill="1" applyAlignment="1">
      <alignment vertical="center" wrapText="1"/>
    </xf>
    <xf numFmtId="0" fontId="4" fillId="6" borderId="0" xfId="0" applyFont="1" applyFill="1" applyAlignment="1">
      <alignment horizontal="left" vertical="center" wrapText="1"/>
    </xf>
    <xf numFmtId="0" fontId="24" fillId="0" borderId="1" xfId="0" applyFont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4" fillId="13" borderId="1" xfId="0" applyFont="1" applyFill="1" applyBorder="1" applyAlignment="1">
      <alignment horizontal="center" vertical="center"/>
    </xf>
    <xf numFmtId="0" fontId="24" fillId="13" borderId="1" xfId="0" applyFont="1" applyFill="1" applyBorder="1" applyAlignment="1">
      <alignment horizontal="center" vertical="center" wrapText="1"/>
    </xf>
    <xf numFmtId="0" fontId="24" fillId="13" borderId="0" xfId="0" applyFont="1" applyFill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5" xfId="0" applyFont="1" applyFill="1" applyBorder="1" applyAlignment="1">
      <alignment horizontal="center" vertical="center" wrapText="1"/>
    </xf>
    <xf numFmtId="0" fontId="24" fillId="1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28" fillId="0" borderId="0" xfId="0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30" fillId="0" borderId="0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6" fillId="12" borderId="1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4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24" fillId="4" borderId="2" xfId="0" applyFont="1" applyFill="1" applyBorder="1" applyAlignment="1">
      <alignment horizontal="center" vertical="center" wrapText="1"/>
    </xf>
    <xf numFmtId="0" fontId="24" fillId="4" borderId="3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top" wrapText="1"/>
    </xf>
    <xf numFmtId="0" fontId="9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17" fontId="0" fillId="0" borderId="1" xfId="0" applyNumberForma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3" fillId="0" borderId="0" xfId="0" applyFont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</cellXfs>
  <cellStyles count="2">
    <cellStyle name="常规" xfId="0" builtinId="0"/>
    <cellStyle name="货币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4</xdr:col>
      <xdr:colOff>3162741</xdr:colOff>
      <xdr:row>14</xdr:row>
      <xdr:rowOff>314847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29CD27E-56DD-5131-7271-C7F75B8D6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24450" y="742950"/>
          <a:ext cx="3162741" cy="3743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5EDB1-A126-4C84-9515-A778FE31EC7D}">
  <sheetPr>
    <tabColor theme="4" tint="0.79998168889431442"/>
  </sheetPr>
  <dimension ref="B2:E44"/>
  <sheetViews>
    <sheetView topLeftCell="A12" workbookViewId="0">
      <selection activeCell="G27" sqref="G27"/>
    </sheetView>
  </sheetViews>
  <sheetFormatPr defaultRowHeight="14.25"/>
  <cols>
    <col min="1" max="1" width="9" style="46"/>
    <col min="2" max="2" width="15" style="46" customWidth="1"/>
    <col min="3" max="3" width="62.25" style="46" customWidth="1"/>
    <col min="4" max="4" width="17.625" style="46" customWidth="1"/>
    <col min="5" max="5" width="27.25" style="46" customWidth="1"/>
    <col min="6" max="6" width="26" style="46" customWidth="1"/>
    <col min="7" max="16384" width="9" style="46"/>
  </cols>
  <sheetData>
    <row r="2" spans="2:3" ht="28.5">
      <c r="B2" s="46" t="s">
        <v>242</v>
      </c>
      <c r="C2" s="46" t="s">
        <v>241</v>
      </c>
    </row>
    <row r="3" spans="2:3" ht="28.5">
      <c r="B3" s="46" t="s">
        <v>22</v>
      </c>
      <c r="C3" s="46" t="s">
        <v>200</v>
      </c>
    </row>
    <row r="4" spans="2:3" ht="28.5">
      <c r="B4" s="46" t="s">
        <v>243</v>
      </c>
      <c r="C4" s="46" t="s">
        <v>244</v>
      </c>
    </row>
    <row r="6" spans="2:3" ht="28.5">
      <c r="B6" s="46" t="s">
        <v>1473</v>
      </c>
      <c r="C6" s="46" t="s">
        <v>2966</v>
      </c>
    </row>
    <row r="7" spans="2:3">
      <c r="C7" s="46" t="s">
        <v>1474</v>
      </c>
    </row>
    <row r="8" spans="2:3">
      <c r="C8" s="46" t="s">
        <v>1475</v>
      </c>
    </row>
    <row r="9" spans="2:3">
      <c r="C9" s="46" t="s">
        <v>1476</v>
      </c>
    </row>
    <row r="11" spans="2:3">
      <c r="B11" s="52" t="s">
        <v>1477</v>
      </c>
      <c r="C11" s="52" t="s">
        <v>1488</v>
      </c>
    </row>
    <row r="12" spans="2:3">
      <c r="B12" s="52" t="s">
        <v>1478</v>
      </c>
      <c r="C12" s="52" t="s">
        <v>1482</v>
      </c>
    </row>
    <row r="13" spans="2:3">
      <c r="B13" s="52" t="s">
        <v>1479</v>
      </c>
      <c r="C13" s="52" t="s">
        <v>1483</v>
      </c>
    </row>
    <row r="14" spans="2:3">
      <c r="B14" s="52" t="s">
        <v>1480</v>
      </c>
      <c r="C14" s="52" t="s">
        <v>1484</v>
      </c>
    </row>
    <row r="15" spans="2:3">
      <c r="B15" s="52" t="s">
        <v>1481</v>
      </c>
      <c r="C15" s="52" t="s">
        <v>1485</v>
      </c>
    </row>
    <row r="16" spans="2:3">
      <c r="C16" s="52" t="s">
        <v>1486</v>
      </c>
    </row>
    <row r="17" spans="2:5">
      <c r="C17" s="52" t="s">
        <v>1487</v>
      </c>
    </row>
    <row r="18" spans="2:5">
      <c r="C18" s="52" t="s">
        <v>1490</v>
      </c>
    </row>
    <row r="19" spans="2:5">
      <c r="C19" s="52" t="s">
        <v>1491</v>
      </c>
    </row>
    <row r="20" spans="2:5">
      <c r="C20" s="215" t="s">
        <v>1489</v>
      </c>
    </row>
    <row r="22" spans="2:5">
      <c r="B22" s="61" t="s">
        <v>1492</v>
      </c>
      <c r="C22" s="61" t="s">
        <v>1500</v>
      </c>
      <c r="D22" s="61" t="s">
        <v>1502</v>
      </c>
      <c r="E22" s="61" t="s">
        <v>1503</v>
      </c>
    </row>
    <row r="23" spans="2:5" ht="57.75" customHeight="1">
      <c r="B23" s="215" t="s">
        <v>1493</v>
      </c>
      <c r="C23" s="54" t="s">
        <v>1501</v>
      </c>
      <c r="D23" s="54" t="s">
        <v>1504</v>
      </c>
      <c r="E23" s="228" t="s">
        <v>2967</v>
      </c>
    </row>
    <row r="24" spans="2:5" ht="42.75">
      <c r="B24" s="215" t="s">
        <v>1499</v>
      </c>
      <c r="C24" s="54" t="s">
        <v>1505</v>
      </c>
      <c r="D24" s="54" t="s">
        <v>1506</v>
      </c>
      <c r="E24" s="229"/>
    </row>
    <row r="25" spans="2:5" ht="42.75">
      <c r="B25" s="215" t="s">
        <v>1494</v>
      </c>
      <c r="C25" s="46" t="s">
        <v>1507</v>
      </c>
      <c r="D25" s="54" t="s">
        <v>1495</v>
      </c>
      <c r="E25" s="228" t="s">
        <v>2968</v>
      </c>
    </row>
    <row r="26" spans="2:5" ht="26.25" customHeight="1">
      <c r="B26" s="215" t="s">
        <v>1510</v>
      </c>
      <c r="C26" s="54" t="s">
        <v>1511</v>
      </c>
      <c r="D26" s="54"/>
      <c r="E26" s="229"/>
    </row>
    <row r="27" spans="2:5" ht="42.75">
      <c r="B27" s="215" t="s">
        <v>1496</v>
      </c>
      <c r="C27" s="54" t="s">
        <v>1508</v>
      </c>
      <c r="D27" s="54" t="s">
        <v>1497</v>
      </c>
      <c r="E27" s="54" t="s">
        <v>1509</v>
      </c>
    </row>
    <row r="30" spans="2:5">
      <c r="B30" s="215" t="s">
        <v>1532</v>
      </c>
      <c r="C30" s="54"/>
      <c r="D30" s="54" t="s">
        <v>1541</v>
      </c>
      <c r="E30" s="54"/>
    </row>
    <row r="31" spans="2:5" ht="28.5" customHeight="1">
      <c r="B31" s="54" t="s">
        <v>1533</v>
      </c>
      <c r="C31" s="54" t="s">
        <v>1534</v>
      </c>
      <c r="D31" s="54" t="s">
        <v>1539</v>
      </c>
      <c r="E31" s="227" t="s">
        <v>1542</v>
      </c>
    </row>
    <row r="32" spans="2:5">
      <c r="B32" s="54" t="s">
        <v>1535</v>
      </c>
      <c r="C32" s="54" t="s">
        <v>1536</v>
      </c>
      <c r="D32" s="54"/>
      <c r="E32" s="227"/>
    </row>
    <row r="33" spans="2:5">
      <c r="B33" s="54" t="s">
        <v>1537</v>
      </c>
      <c r="C33" s="54" t="s">
        <v>1538</v>
      </c>
      <c r="D33" s="54" t="s">
        <v>1540</v>
      </c>
      <c r="E33" s="227"/>
    </row>
    <row r="36" spans="2:5" ht="28.5">
      <c r="B36" s="46" t="s">
        <v>1715</v>
      </c>
      <c r="C36" t="s">
        <v>1716</v>
      </c>
    </row>
    <row r="37" spans="2:5">
      <c r="B37"/>
      <c r="C37" t="s">
        <v>1717</v>
      </c>
    </row>
    <row r="38" spans="2:5">
      <c r="B38"/>
      <c r="C38" t="s">
        <v>1718</v>
      </c>
    </row>
    <row r="39" spans="2:5">
      <c r="B39"/>
      <c r="C39" t="s">
        <v>1719</v>
      </c>
    </row>
    <row r="42" spans="2:5">
      <c r="C42" s="46" t="s">
        <v>2961</v>
      </c>
    </row>
    <row r="44" spans="2:5">
      <c r="C44" t="s">
        <v>2895</v>
      </c>
    </row>
  </sheetData>
  <mergeCells count="3">
    <mergeCell ref="E31:E33"/>
    <mergeCell ref="E23:E24"/>
    <mergeCell ref="E25:E26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C2867-22D9-47E3-B2CA-348EF5580738}">
  <sheetPr>
    <tabColor theme="4" tint="0.79998168889431442"/>
  </sheetPr>
  <dimension ref="A1:AX60"/>
  <sheetViews>
    <sheetView workbookViewId="0">
      <pane xSplit="3" ySplit="3" topLeftCell="D4" activePane="bottomRight" state="frozen"/>
      <selection pane="topRight" activeCell="D1" sqref="D1"/>
      <selection pane="bottomLeft" activeCell="A5" sqref="A5"/>
      <selection pane="bottomRight" activeCell="E4" sqref="E4"/>
    </sheetView>
  </sheetViews>
  <sheetFormatPr defaultColWidth="0" defaultRowHeight="14.25" zeroHeight="1"/>
  <cols>
    <col min="1" max="1" width="4.125" style="61" customWidth="1"/>
    <col min="2" max="2" width="5.875" style="61" customWidth="1"/>
    <col min="3" max="3" width="4.125" style="61" customWidth="1"/>
    <col min="4" max="4" width="15.375" style="125" customWidth="1"/>
    <col min="5" max="5" width="15.375" style="158" customWidth="1"/>
    <col min="6" max="7" width="15.375" style="139" customWidth="1"/>
    <col min="8" max="9" width="15.375" style="125" customWidth="1"/>
    <col min="10" max="10" width="2.125" style="115" customWidth="1"/>
    <col min="11" max="11" width="15.375" style="158" customWidth="1"/>
    <col min="12" max="12" width="2.125" style="115" customWidth="1"/>
    <col min="13" max="13" width="13" style="125" customWidth="1"/>
    <col min="14" max="14" width="15.875" style="125" customWidth="1"/>
    <col min="15" max="15" width="14.5" style="125" customWidth="1"/>
    <col min="16" max="16" width="14.625" style="125" customWidth="1"/>
    <col min="17" max="17" width="13.25" style="125" customWidth="1"/>
    <col min="18" max="18" width="12.25" style="133" customWidth="1"/>
    <col min="19" max="19" width="12.25" style="158" customWidth="1"/>
    <col min="20" max="20" width="1.625" style="120" customWidth="1"/>
    <col min="21" max="50" width="0" style="125" hidden="1" customWidth="1"/>
    <col min="51" max="16384" width="9" style="125" hidden="1"/>
  </cols>
  <sheetData>
    <row r="1" spans="1:20">
      <c r="A1" s="236" t="s">
        <v>2443</v>
      </c>
      <c r="B1" s="237"/>
      <c r="C1" s="238"/>
      <c r="D1" s="239" t="s">
        <v>2969</v>
      </c>
      <c r="E1" s="240"/>
      <c r="F1" s="126" t="s">
        <v>2970</v>
      </c>
      <c r="G1" s="219" t="s">
        <v>2971</v>
      </c>
      <c r="H1" s="61" t="s">
        <v>2972</v>
      </c>
      <c r="I1" s="61"/>
      <c r="J1" s="118"/>
      <c r="L1" s="118"/>
      <c r="M1" s="137" t="s">
        <v>2441</v>
      </c>
      <c r="N1" s="61"/>
      <c r="P1" s="61"/>
      <c r="Q1" s="61"/>
      <c r="R1" s="61"/>
      <c r="S1" s="61"/>
    </row>
    <row r="2" spans="1:20" ht="42.75">
      <c r="A2" s="236"/>
      <c r="B2" s="237"/>
      <c r="C2" s="238"/>
      <c r="D2" s="245" t="s">
        <v>2909</v>
      </c>
      <c r="E2" s="246"/>
      <c r="F2" s="192" t="s">
        <v>2531</v>
      </c>
      <c r="G2" s="192" t="s">
        <v>2532</v>
      </c>
      <c r="H2" s="192" t="s">
        <v>2533</v>
      </c>
      <c r="I2" s="219" t="s">
        <v>2534</v>
      </c>
      <c r="J2" s="119"/>
      <c r="K2" s="202"/>
      <c r="L2" s="119"/>
      <c r="M2" s="128" t="s">
        <v>1732</v>
      </c>
      <c r="N2" s="126" t="s">
        <v>1733</v>
      </c>
      <c r="O2" s="217" t="s">
        <v>1734</v>
      </c>
      <c r="P2" s="219" t="s">
        <v>1735</v>
      </c>
      <c r="Q2" s="217" t="s">
        <v>2975</v>
      </c>
      <c r="R2" s="219" t="s">
        <v>2976</v>
      </c>
      <c r="S2" s="226" t="s">
        <v>3011</v>
      </c>
      <c r="T2" s="225" t="s">
        <v>3012</v>
      </c>
    </row>
    <row r="3" spans="1:20">
      <c r="A3" s="239"/>
      <c r="B3" s="240"/>
      <c r="C3" s="241"/>
      <c r="D3" s="156" t="s">
        <v>1706</v>
      </c>
      <c r="E3" s="208" t="s">
        <v>2973</v>
      </c>
      <c r="F3" s="156" t="s">
        <v>1498</v>
      </c>
      <c r="G3" s="156" t="s">
        <v>2051</v>
      </c>
      <c r="H3" s="156" t="s">
        <v>1512</v>
      </c>
      <c r="I3" s="159" t="s">
        <v>2523</v>
      </c>
      <c r="J3" s="141"/>
      <c r="K3" s="159" t="s">
        <v>2974</v>
      </c>
      <c r="L3" s="141"/>
      <c r="M3" s="160" t="s">
        <v>2444</v>
      </c>
      <c r="N3" s="175" t="s">
        <v>1514</v>
      </c>
      <c r="O3" s="156" t="s">
        <v>2450</v>
      </c>
      <c r="P3" s="175" t="s">
        <v>2445</v>
      </c>
      <c r="Q3" s="175" t="s">
        <v>2897</v>
      </c>
      <c r="R3" s="175" t="s">
        <v>1515</v>
      </c>
      <c r="S3" s="225" t="s">
        <v>3013</v>
      </c>
    </row>
    <row r="4" spans="1:20" ht="78.75">
      <c r="A4" s="242">
        <v>38</v>
      </c>
      <c r="B4" s="242">
        <v>2026</v>
      </c>
      <c r="C4" s="126">
        <v>9</v>
      </c>
      <c r="D4" s="212" t="s">
        <v>2921</v>
      </c>
      <c r="E4" s="211" t="s">
        <v>2924</v>
      </c>
      <c r="F4" s="205" t="s">
        <v>2926</v>
      </c>
      <c r="G4" s="205" t="s">
        <v>1517</v>
      </c>
      <c r="H4" s="205" t="s">
        <v>1517</v>
      </c>
      <c r="I4" s="205" t="s">
        <v>2948</v>
      </c>
      <c r="J4" s="188"/>
      <c r="K4" s="230" t="s">
        <v>2928</v>
      </c>
      <c r="L4" s="188"/>
      <c r="M4" s="173" t="s">
        <v>2544</v>
      </c>
      <c r="N4" s="173" t="s">
        <v>2529</v>
      </c>
      <c r="O4" s="189" t="s">
        <v>2526</v>
      </c>
      <c r="P4" s="173" t="s">
        <v>2987</v>
      </c>
      <c r="Q4" s="216" t="s">
        <v>2986</v>
      </c>
      <c r="R4" s="173"/>
      <c r="S4" s="224"/>
      <c r="T4" s="288"/>
    </row>
    <row r="5" spans="1:20" ht="90" customHeight="1">
      <c r="A5" s="243"/>
      <c r="B5" s="243"/>
      <c r="C5" s="126">
        <v>10</v>
      </c>
      <c r="D5" s="212" t="s">
        <v>2920</v>
      </c>
      <c r="E5" s="206" t="s">
        <v>2922</v>
      </c>
      <c r="F5" s="235" t="s">
        <v>2451</v>
      </c>
      <c r="G5" s="235" t="s">
        <v>2052</v>
      </c>
      <c r="H5" s="233" t="s">
        <v>2525</v>
      </c>
      <c r="I5" s="206" t="s">
        <v>1816</v>
      </c>
      <c r="J5" s="142"/>
      <c r="K5" s="231"/>
      <c r="L5" s="142"/>
      <c r="M5" s="161" t="s">
        <v>2545</v>
      </c>
      <c r="N5" s="172" t="s">
        <v>2529</v>
      </c>
      <c r="O5" s="207" t="s">
        <v>2527</v>
      </c>
      <c r="P5" s="172" t="s">
        <v>2442</v>
      </c>
      <c r="Q5" s="210" t="s">
        <v>2956</v>
      </c>
      <c r="R5" s="172" t="s">
        <v>1801</v>
      </c>
      <c r="S5" s="224"/>
    </row>
    <row r="6" spans="1:20" ht="90">
      <c r="A6" s="243"/>
      <c r="B6" s="243"/>
      <c r="C6" s="126">
        <v>11</v>
      </c>
      <c r="D6" s="247" t="s">
        <v>2915</v>
      </c>
      <c r="F6" s="235"/>
      <c r="G6" s="235"/>
      <c r="H6" s="234"/>
      <c r="I6" s="207" t="s">
        <v>1821</v>
      </c>
      <c r="J6" s="142"/>
      <c r="K6" s="232"/>
      <c r="L6" s="142"/>
      <c r="M6" s="116" t="s">
        <v>2546</v>
      </c>
      <c r="N6" s="157" t="s">
        <v>2529</v>
      </c>
      <c r="O6" s="207" t="s">
        <v>2527</v>
      </c>
      <c r="P6" s="153" t="s">
        <v>2442</v>
      </c>
      <c r="Q6" s="117" t="s">
        <v>2929</v>
      </c>
      <c r="R6" s="117" t="s">
        <v>1801</v>
      </c>
      <c r="S6" s="224"/>
    </row>
    <row r="7" spans="1:20" ht="90" customHeight="1">
      <c r="A7" s="244"/>
      <c r="B7" s="244"/>
      <c r="C7" s="126">
        <v>12</v>
      </c>
      <c r="D7" s="248"/>
      <c r="E7" s="165"/>
      <c r="F7" s="235"/>
      <c r="G7" s="235"/>
      <c r="H7" s="234"/>
      <c r="I7" s="206" t="s">
        <v>2524</v>
      </c>
      <c r="J7" s="142"/>
      <c r="K7" s="230" t="s">
        <v>2927</v>
      </c>
      <c r="L7" s="142"/>
      <c r="M7" s="116" t="s">
        <v>2546</v>
      </c>
      <c r="N7" s="157" t="s">
        <v>2529</v>
      </c>
      <c r="O7" s="207" t="s">
        <v>2527</v>
      </c>
      <c r="P7" s="153" t="s">
        <v>2446</v>
      </c>
      <c r="Q7" s="117" t="s">
        <v>2930</v>
      </c>
      <c r="R7" s="117" t="s">
        <v>1801</v>
      </c>
      <c r="S7" s="224"/>
    </row>
    <row r="8" spans="1:20" ht="90">
      <c r="A8" s="249">
        <v>39</v>
      </c>
      <c r="B8" s="242">
        <v>2027</v>
      </c>
      <c r="C8" s="126">
        <v>1</v>
      </c>
      <c r="D8" s="247" t="s">
        <v>2916</v>
      </c>
      <c r="E8" s="230" t="s">
        <v>2925</v>
      </c>
      <c r="F8" s="235"/>
      <c r="G8" s="235" t="s">
        <v>1814</v>
      </c>
      <c r="H8" s="234"/>
      <c r="I8" s="207" t="s">
        <v>1820</v>
      </c>
      <c r="J8" s="142"/>
      <c r="K8" s="231"/>
      <c r="L8" s="142"/>
      <c r="M8" s="116" t="s">
        <v>2546</v>
      </c>
      <c r="N8" s="157" t="s">
        <v>2529</v>
      </c>
      <c r="O8" s="207" t="s">
        <v>2527</v>
      </c>
      <c r="P8" s="153" t="s">
        <v>2442</v>
      </c>
      <c r="Q8" s="117" t="s">
        <v>2931</v>
      </c>
      <c r="R8" s="117" t="s">
        <v>1802</v>
      </c>
      <c r="S8" s="224"/>
    </row>
    <row r="9" spans="1:20" ht="90">
      <c r="A9" s="249"/>
      <c r="B9" s="243"/>
      <c r="C9" s="126">
        <v>2</v>
      </c>
      <c r="D9" s="248"/>
      <c r="E9" s="232"/>
      <c r="F9" s="206"/>
      <c r="G9" s="235"/>
      <c r="H9" s="234"/>
      <c r="I9" s="207" t="s">
        <v>1819</v>
      </c>
      <c r="J9" s="142"/>
      <c r="K9" s="231"/>
      <c r="L9" s="142"/>
      <c r="M9" s="116" t="s">
        <v>2528</v>
      </c>
      <c r="N9" s="157" t="s">
        <v>2529</v>
      </c>
      <c r="O9" s="207" t="s">
        <v>2527</v>
      </c>
      <c r="P9" s="153" t="s">
        <v>2442</v>
      </c>
      <c r="Q9" s="117" t="s">
        <v>2932</v>
      </c>
      <c r="R9" s="117" t="s">
        <v>1802</v>
      </c>
      <c r="S9" s="224"/>
    </row>
    <row r="10" spans="1:20" ht="90">
      <c r="A10" s="249"/>
      <c r="B10" s="243"/>
      <c r="C10" s="126">
        <v>3</v>
      </c>
      <c r="D10" s="207" t="s">
        <v>2913</v>
      </c>
      <c r="E10" s="206" t="s">
        <v>2923</v>
      </c>
      <c r="F10" s="206"/>
      <c r="G10" s="235"/>
      <c r="H10" s="234"/>
      <c r="I10" s="206" t="s">
        <v>1818</v>
      </c>
      <c r="J10" s="142"/>
      <c r="K10" s="232"/>
      <c r="L10" s="142"/>
      <c r="M10" s="116" t="s">
        <v>2528</v>
      </c>
      <c r="N10" s="157" t="s">
        <v>2529</v>
      </c>
      <c r="O10" s="207" t="s">
        <v>2527</v>
      </c>
      <c r="P10" s="153" t="s">
        <v>2447</v>
      </c>
      <c r="Q10" s="117"/>
      <c r="R10" s="117" t="s">
        <v>1802</v>
      </c>
      <c r="S10" s="224"/>
    </row>
    <row r="11" spans="1:20" ht="56.25">
      <c r="A11" s="249"/>
      <c r="B11" s="243"/>
      <c r="C11" s="126">
        <v>4</v>
      </c>
      <c r="D11" s="207" t="s">
        <v>2912</v>
      </c>
      <c r="E11" s="233" t="s">
        <v>2530</v>
      </c>
      <c r="F11" s="206"/>
      <c r="G11" s="235"/>
      <c r="H11" s="234"/>
      <c r="I11" s="207" t="s">
        <v>1736</v>
      </c>
      <c r="J11" s="142"/>
      <c r="K11" s="218"/>
      <c r="L11" s="142"/>
      <c r="M11" s="116" t="s">
        <v>2528</v>
      </c>
      <c r="N11" s="157" t="s">
        <v>2529</v>
      </c>
      <c r="O11" s="207" t="s">
        <v>1831</v>
      </c>
      <c r="P11" s="153" t="s">
        <v>2442</v>
      </c>
      <c r="Q11" s="117"/>
      <c r="R11" s="117" t="s">
        <v>1802</v>
      </c>
      <c r="S11" s="224"/>
    </row>
    <row r="12" spans="1:20" ht="56.25">
      <c r="A12" s="249"/>
      <c r="B12" s="243"/>
      <c r="C12" s="126">
        <v>5</v>
      </c>
      <c r="D12" s="162" t="s">
        <v>2914</v>
      </c>
      <c r="E12" s="234"/>
      <c r="F12" s="207"/>
      <c r="G12" s="235"/>
      <c r="H12" s="234"/>
      <c r="I12" s="206" t="s">
        <v>1817</v>
      </c>
      <c r="J12" s="142"/>
      <c r="K12" s="218"/>
      <c r="L12" s="142"/>
      <c r="M12" s="116" t="s">
        <v>2528</v>
      </c>
      <c r="N12" s="157" t="s">
        <v>2529</v>
      </c>
      <c r="O12" s="207" t="s">
        <v>1831</v>
      </c>
      <c r="P12" s="153" t="s">
        <v>2442</v>
      </c>
      <c r="Q12" s="117"/>
      <c r="R12" s="117" t="s">
        <v>1802</v>
      </c>
      <c r="S12" s="224"/>
    </row>
    <row r="13" spans="1:20" ht="56.25">
      <c r="A13" s="249"/>
      <c r="B13" s="243"/>
      <c r="C13" s="126">
        <v>6</v>
      </c>
      <c r="D13" s="207" t="s">
        <v>2911</v>
      </c>
      <c r="E13" s="234"/>
      <c r="F13" s="207"/>
      <c r="G13" s="235"/>
      <c r="H13" s="234"/>
      <c r="I13" s="206" t="s">
        <v>1894</v>
      </c>
      <c r="J13" s="142"/>
      <c r="K13" s="218"/>
      <c r="L13" s="142"/>
      <c r="M13" s="116" t="s">
        <v>2528</v>
      </c>
      <c r="N13" s="157" t="s">
        <v>2529</v>
      </c>
      <c r="O13" s="207" t="s">
        <v>1831</v>
      </c>
      <c r="P13" s="153" t="s">
        <v>2442</v>
      </c>
      <c r="Q13" s="121" t="s">
        <v>2894</v>
      </c>
      <c r="R13" s="117" t="s">
        <v>1802</v>
      </c>
      <c r="S13" s="224"/>
    </row>
    <row r="14" spans="1:20" ht="56.25">
      <c r="A14" s="249"/>
      <c r="B14" s="243"/>
      <c r="C14" s="126">
        <v>7</v>
      </c>
      <c r="D14" s="207" t="s">
        <v>2910</v>
      </c>
      <c r="E14" s="206"/>
      <c r="F14" s="206"/>
      <c r="G14" s="235" t="s">
        <v>1815</v>
      </c>
      <c r="H14" s="234"/>
      <c r="I14" s="206" t="s">
        <v>1895</v>
      </c>
      <c r="J14" s="142"/>
      <c r="K14" s="207"/>
      <c r="L14" s="142"/>
      <c r="M14" s="116" t="s">
        <v>2528</v>
      </c>
      <c r="N14" s="157" t="s">
        <v>2529</v>
      </c>
      <c r="O14" s="207" t="s">
        <v>1831</v>
      </c>
      <c r="P14" s="153" t="s">
        <v>2442</v>
      </c>
      <c r="Q14" s="117"/>
      <c r="R14" s="117" t="s">
        <v>1802</v>
      </c>
      <c r="S14" s="224"/>
    </row>
    <row r="15" spans="1:20" ht="56.25">
      <c r="A15" s="249"/>
      <c r="B15" s="243"/>
      <c r="C15" s="126">
        <v>8</v>
      </c>
      <c r="D15" s="207" t="s">
        <v>2917</v>
      </c>
      <c r="E15" s="207"/>
      <c r="F15" s="207"/>
      <c r="G15" s="235"/>
      <c r="H15" s="234"/>
      <c r="I15" s="204"/>
      <c r="J15" s="142"/>
      <c r="K15" s="207"/>
      <c r="L15" s="142"/>
      <c r="M15" s="116" t="s">
        <v>2528</v>
      </c>
      <c r="N15" s="157" t="s">
        <v>2529</v>
      </c>
      <c r="O15" s="207" t="s">
        <v>1831</v>
      </c>
      <c r="P15" s="153" t="s">
        <v>2442</v>
      </c>
      <c r="Q15" s="117"/>
      <c r="R15" s="117" t="s">
        <v>1802</v>
      </c>
      <c r="S15" s="224"/>
    </row>
    <row r="16" spans="1:20" ht="56.25">
      <c r="A16" s="249"/>
      <c r="B16" s="243"/>
      <c r="C16" s="126">
        <v>9</v>
      </c>
      <c r="D16" s="207" t="s">
        <v>2918</v>
      </c>
      <c r="E16" s="207"/>
      <c r="F16" s="207"/>
      <c r="G16" s="235"/>
      <c r="H16" s="234"/>
      <c r="I16" s="166"/>
      <c r="J16" s="142"/>
      <c r="K16" s="207"/>
      <c r="L16" s="142"/>
      <c r="M16" s="116" t="s">
        <v>2528</v>
      </c>
      <c r="N16" s="157" t="s">
        <v>2529</v>
      </c>
      <c r="O16" s="207" t="s">
        <v>1831</v>
      </c>
      <c r="P16" s="153" t="s">
        <v>2442</v>
      </c>
      <c r="Q16" s="117"/>
      <c r="R16" s="117" t="s">
        <v>1802</v>
      </c>
      <c r="S16" s="224"/>
    </row>
    <row r="17" spans="1:19" ht="56.25">
      <c r="A17" s="249"/>
      <c r="B17" s="243"/>
      <c r="C17" s="126">
        <v>10</v>
      </c>
      <c r="D17" s="207" t="s">
        <v>2919</v>
      </c>
      <c r="E17" s="207"/>
      <c r="F17" s="207"/>
      <c r="G17" s="235"/>
      <c r="H17" s="234"/>
      <c r="I17" s="207" t="s">
        <v>1737</v>
      </c>
      <c r="J17" s="142"/>
      <c r="K17" s="207"/>
      <c r="L17" s="142"/>
      <c r="M17" s="116" t="s">
        <v>2528</v>
      </c>
      <c r="N17" s="157" t="s">
        <v>2529</v>
      </c>
      <c r="O17" s="207" t="s">
        <v>1831</v>
      </c>
      <c r="P17" s="153" t="s">
        <v>2442</v>
      </c>
      <c r="Q17" s="117"/>
      <c r="R17" s="121" t="s">
        <v>2665</v>
      </c>
      <c r="S17" s="121"/>
    </row>
    <row r="18" spans="1:19" ht="56.25">
      <c r="A18" s="249"/>
      <c r="B18" s="243"/>
      <c r="C18" s="126">
        <v>11</v>
      </c>
      <c r="D18" s="166"/>
      <c r="E18" s="207"/>
      <c r="F18" s="207"/>
      <c r="G18" s="235"/>
      <c r="H18" s="234"/>
      <c r="I18" s="165"/>
      <c r="J18" s="142"/>
      <c r="K18" s="207"/>
      <c r="L18" s="142"/>
      <c r="M18" s="116" t="s">
        <v>2528</v>
      </c>
      <c r="N18" s="157" t="s">
        <v>2529</v>
      </c>
      <c r="O18" s="207" t="s">
        <v>1831</v>
      </c>
      <c r="P18" s="153" t="s">
        <v>2442</v>
      </c>
      <c r="Q18" s="117"/>
      <c r="R18" s="117" t="s">
        <v>1802</v>
      </c>
      <c r="S18" s="224"/>
    </row>
    <row r="19" spans="1:19" ht="56.25">
      <c r="A19" s="249"/>
      <c r="B19" s="244"/>
      <c r="C19" s="126">
        <v>12</v>
      </c>
      <c r="D19" s="206"/>
      <c r="E19" s="206"/>
      <c r="F19" s="206"/>
      <c r="G19" s="235"/>
      <c r="H19" s="234"/>
      <c r="I19" s="166"/>
      <c r="J19" s="142"/>
      <c r="K19" s="207"/>
      <c r="L19" s="142"/>
      <c r="M19" s="206" t="s">
        <v>2528</v>
      </c>
      <c r="N19" s="206" t="s">
        <v>2529</v>
      </c>
      <c r="O19" s="207" t="s">
        <v>1831</v>
      </c>
      <c r="P19" s="153" t="s">
        <v>2442</v>
      </c>
      <c r="Q19" s="117"/>
      <c r="R19" s="117" t="s">
        <v>1802</v>
      </c>
      <c r="S19" s="224"/>
    </row>
    <row r="20" spans="1:19" ht="22.5" hidden="1" customHeight="1">
      <c r="A20" s="249">
        <v>40</v>
      </c>
      <c r="B20" s="242">
        <v>2028</v>
      </c>
      <c r="C20" s="126">
        <v>1</v>
      </c>
      <c r="D20" s="173"/>
      <c r="E20" s="206"/>
      <c r="F20" s="173"/>
      <c r="G20" s="173"/>
      <c r="H20" s="233" t="s">
        <v>1897</v>
      </c>
      <c r="I20" s="173"/>
      <c r="J20" s="188"/>
      <c r="K20" s="201"/>
      <c r="L20" s="188"/>
      <c r="M20" s="174"/>
      <c r="N20" s="173"/>
      <c r="O20" s="173" t="s">
        <v>2452</v>
      </c>
      <c r="P20" s="117"/>
      <c r="Q20" s="117"/>
      <c r="R20" s="117"/>
      <c r="S20" s="287"/>
    </row>
    <row r="21" spans="1:19" ht="14.25" hidden="1" customHeight="1">
      <c r="A21" s="249"/>
      <c r="B21" s="243"/>
      <c r="C21" s="126">
        <v>2</v>
      </c>
      <c r="D21" s="173"/>
      <c r="E21" s="206"/>
      <c r="F21" s="173"/>
      <c r="G21" s="173"/>
      <c r="H21" s="233"/>
      <c r="I21" s="173"/>
      <c r="J21" s="188"/>
      <c r="K21" s="201"/>
      <c r="L21" s="188"/>
      <c r="M21" s="174"/>
      <c r="N21" s="173"/>
      <c r="O21" s="173" t="s">
        <v>1896</v>
      </c>
      <c r="P21" s="117"/>
      <c r="Q21" s="117"/>
      <c r="R21" s="117"/>
      <c r="S21" s="287"/>
    </row>
    <row r="22" spans="1:19" ht="14.25" hidden="1" customHeight="1">
      <c r="A22" s="249"/>
      <c r="B22" s="243"/>
      <c r="C22" s="126">
        <v>3</v>
      </c>
      <c r="D22" s="173"/>
      <c r="E22" s="206"/>
      <c r="F22" s="173"/>
      <c r="G22" s="173"/>
      <c r="H22" s="233"/>
      <c r="I22" s="173"/>
      <c r="J22" s="188"/>
      <c r="K22" s="201"/>
      <c r="L22" s="188"/>
      <c r="M22" s="174"/>
      <c r="N22" s="173"/>
      <c r="O22" s="173" t="s">
        <v>1896</v>
      </c>
      <c r="P22" s="117"/>
      <c r="Q22" s="117"/>
      <c r="R22" s="117"/>
      <c r="S22" s="287"/>
    </row>
    <row r="23" spans="1:19" ht="14.25" hidden="1" customHeight="1">
      <c r="A23" s="249"/>
      <c r="B23" s="243"/>
      <c r="C23" s="126">
        <v>4</v>
      </c>
      <c r="D23" s="173"/>
      <c r="E23" s="206"/>
      <c r="F23" s="173"/>
      <c r="G23" s="173"/>
      <c r="H23" s="233"/>
      <c r="I23" s="173" t="s">
        <v>1738</v>
      </c>
      <c r="J23" s="188"/>
      <c r="K23" s="201"/>
      <c r="L23" s="188"/>
      <c r="M23" s="174"/>
      <c r="N23" s="173"/>
      <c r="O23" s="173" t="s">
        <v>1896</v>
      </c>
      <c r="P23" s="117"/>
      <c r="Q23" s="117"/>
      <c r="R23" s="117"/>
      <c r="S23" s="287"/>
    </row>
    <row r="24" spans="1:19" ht="14.25" hidden="1" customHeight="1">
      <c r="A24" s="249"/>
      <c r="B24" s="243"/>
      <c r="C24" s="126">
        <v>5</v>
      </c>
      <c r="D24" s="173"/>
      <c r="E24" s="206"/>
      <c r="F24" s="173"/>
      <c r="G24" s="173"/>
      <c r="H24" s="233"/>
      <c r="I24" s="173"/>
      <c r="J24" s="188"/>
      <c r="K24" s="201"/>
      <c r="L24" s="188"/>
      <c r="M24" s="174"/>
      <c r="N24" s="173"/>
      <c r="O24" s="173" t="s">
        <v>1896</v>
      </c>
      <c r="P24" s="117"/>
      <c r="Q24" s="117"/>
      <c r="R24" s="117"/>
      <c r="S24" s="287"/>
    </row>
    <row r="25" spans="1:19" ht="14.25" hidden="1" customHeight="1">
      <c r="A25" s="249"/>
      <c r="B25" s="243"/>
      <c r="C25" s="126">
        <v>6</v>
      </c>
      <c r="D25" s="233" t="s">
        <v>1707</v>
      </c>
      <c r="E25" s="206"/>
      <c r="F25" s="173"/>
      <c r="G25" s="173"/>
      <c r="H25" s="233"/>
      <c r="I25" s="173"/>
      <c r="J25" s="188"/>
      <c r="K25" s="201"/>
      <c r="L25" s="188"/>
      <c r="M25" s="174"/>
      <c r="N25" s="173"/>
      <c r="O25" s="173" t="s">
        <v>1896</v>
      </c>
      <c r="P25" s="117"/>
      <c r="Q25" s="117"/>
      <c r="R25" s="117"/>
      <c r="S25" s="287"/>
    </row>
    <row r="26" spans="1:19" ht="14.25" hidden="1" customHeight="1">
      <c r="A26" s="249"/>
      <c r="B26" s="243"/>
      <c r="C26" s="126">
        <v>7</v>
      </c>
      <c r="D26" s="234"/>
      <c r="E26" s="207"/>
      <c r="F26" s="174"/>
      <c r="G26" s="174"/>
      <c r="H26" s="233"/>
      <c r="I26" s="173"/>
      <c r="J26" s="188"/>
      <c r="K26" s="201"/>
      <c r="L26" s="188"/>
      <c r="M26" s="174"/>
      <c r="N26" s="173"/>
      <c r="O26" s="173" t="s">
        <v>1896</v>
      </c>
      <c r="P26" s="117"/>
      <c r="Q26" s="117"/>
      <c r="R26" s="117"/>
      <c r="S26" s="287"/>
    </row>
    <row r="27" spans="1:19" ht="14.25" hidden="1" customHeight="1">
      <c r="A27" s="249"/>
      <c r="B27" s="243"/>
      <c r="C27" s="126">
        <v>8</v>
      </c>
      <c r="D27" s="234"/>
      <c r="E27" s="207"/>
      <c r="F27" s="174"/>
      <c r="G27" s="174"/>
      <c r="H27" s="233"/>
      <c r="I27" s="173"/>
      <c r="J27" s="188"/>
      <c r="K27" s="201"/>
      <c r="L27" s="188"/>
      <c r="M27" s="174"/>
      <c r="N27" s="173"/>
      <c r="O27" s="173" t="s">
        <v>1896</v>
      </c>
      <c r="P27" s="117"/>
      <c r="Q27" s="117"/>
      <c r="R27" s="117"/>
      <c r="S27" s="287"/>
    </row>
    <row r="28" spans="1:19" ht="14.25" hidden="1" customHeight="1">
      <c r="A28" s="249"/>
      <c r="B28" s="243"/>
      <c r="C28" s="126">
        <v>9</v>
      </c>
      <c r="D28" s="173"/>
      <c r="E28" s="206"/>
      <c r="F28" s="173"/>
      <c r="G28" s="173"/>
      <c r="H28" s="233"/>
      <c r="I28" s="173"/>
      <c r="J28" s="188"/>
      <c r="K28" s="201"/>
      <c r="L28" s="188"/>
      <c r="M28" s="174"/>
      <c r="N28" s="173"/>
      <c r="O28" s="173" t="s">
        <v>1896</v>
      </c>
      <c r="P28" s="117"/>
      <c r="Q28" s="117"/>
      <c r="R28" s="117"/>
      <c r="S28" s="287"/>
    </row>
    <row r="29" spans="1:19" ht="14.25" hidden="1" customHeight="1">
      <c r="A29" s="249"/>
      <c r="B29" s="243"/>
      <c r="C29" s="126">
        <v>10</v>
      </c>
      <c r="D29" s="173"/>
      <c r="E29" s="206"/>
      <c r="F29" s="173"/>
      <c r="G29" s="173"/>
      <c r="H29" s="233"/>
      <c r="I29" s="173" t="s">
        <v>1738</v>
      </c>
      <c r="J29" s="188"/>
      <c r="K29" s="201"/>
      <c r="L29" s="188"/>
      <c r="M29" s="174"/>
      <c r="N29" s="173"/>
      <c r="O29" s="173" t="s">
        <v>1896</v>
      </c>
      <c r="P29" s="117"/>
      <c r="Q29" s="117"/>
      <c r="R29" s="117"/>
      <c r="S29" s="287"/>
    </row>
    <row r="30" spans="1:19" ht="14.25" hidden="1" customHeight="1">
      <c r="A30" s="249"/>
      <c r="B30" s="243"/>
      <c r="C30" s="126">
        <v>11</v>
      </c>
      <c r="D30" s="173"/>
      <c r="E30" s="206"/>
      <c r="F30" s="173"/>
      <c r="G30" s="173"/>
      <c r="H30" s="233"/>
      <c r="I30" s="173"/>
      <c r="J30" s="188"/>
      <c r="K30" s="201"/>
      <c r="L30" s="188"/>
      <c r="M30" s="174"/>
      <c r="N30" s="173"/>
      <c r="O30" s="173" t="s">
        <v>1896</v>
      </c>
      <c r="P30" s="117"/>
      <c r="Q30" s="117"/>
      <c r="R30" s="117"/>
      <c r="S30" s="287"/>
    </row>
    <row r="31" spans="1:19" ht="14.25" hidden="1" customHeight="1">
      <c r="A31" s="249"/>
      <c r="B31" s="244"/>
      <c r="C31" s="126">
        <v>12</v>
      </c>
      <c r="D31" s="173"/>
      <c r="E31" s="206"/>
      <c r="F31" s="173"/>
      <c r="G31" s="173"/>
      <c r="H31" s="233"/>
      <c r="I31" s="171"/>
      <c r="J31" s="188"/>
      <c r="K31" s="201"/>
      <c r="L31" s="188"/>
      <c r="M31" s="174"/>
      <c r="N31" s="173"/>
      <c r="O31" s="173" t="s">
        <v>1896</v>
      </c>
      <c r="P31" s="117"/>
      <c r="Q31" s="117"/>
      <c r="R31" s="117"/>
      <c r="S31" s="287"/>
    </row>
    <row r="32" spans="1:19" ht="14.25" hidden="1" customHeight="1">
      <c r="A32" s="249">
        <v>41</v>
      </c>
      <c r="B32" s="242">
        <v>2029</v>
      </c>
      <c r="C32" s="126">
        <v>1</v>
      </c>
      <c r="D32" s="173"/>
      <c r="E32" s="206"/>
      <c r="F32" s="173"/>
      <c r="G32" s="173"/>
      <c r="H32" s="233"/>
      <c r="I32" s="173" t="s">
        <v>1739</v>
      </c>
      <c r="J32" s="188"/>
      <c r="K32" s="201"/>
      <c r="L32" s="188"/>
      <c r="M32" s="174"/>
      <c r="N32" s="173"/>
      <c r="O32" s="173" t="s">
        <v>1896</v>
      </c>
      <c r="P32" s="117"/>
      <c r="Q32" s="117"/>
      <c r="R32" s="117"/>
      <c r="S32" s="287"/>
    </row>
    <row r="33" spans="1:19" ht="14.25" hidden="1" customHeight="1">
      <c r="A33" s="249"/>
      <c r="B33" s="243"/>
      <c r="C33" s="126">
        <v>2</v>
      </c>
      <c r="D33" s="173"/>
      <c r="E33" s="206"/>
      <c r="F33" s="173"/>
      <c r="G33" s="173"/>
      <c r="H33" s="233"/>
      <c r="I33" s="173" t="s">
        <v>1740</v>
      </c>
      <c r="J33" s="188"/>
      <c r="K33" s="201"/>
      <c r="L33" s="188"/>
      <c r="M33" s="174"/>
      <c r="N33" s="173"/>
      <c r="O33" s="173" t="s">
        <v>1896</v>
      </c>
      <c r="P33" s="117"/>
      <c r="Q33" s="117"/>
      <c r="R33" s="117"/>
      <c r="S33" s="287"/>
    </row>
    <row r="34" spans="1:19" ht="14.25" hidden="1" customHeight="1">
      <c r="A34" s="249"/>
      <c r="B34" s="243"/>
      <c r="C34" s="126">
        <v>3</v>
      </c>
      <c r="D34" s="173"/>
      <c r="E34" s="206"/>
      <c r="F34" s="173"/>
      <c r="G34" s="173"/>
      <c r="H34" s="233"/>
      <c r="I34" s="173"/>
      <c r="J34" s="188"/>
      <c r="K34" s="201"/>
      <c r="L34" s="188"/>
      <c r="M34" s="174"/>
      <c r="N34" s="173"/>
      <c r="O34" s="173" t="s">
        <v>1896</v>
      </c>
      <c r="P34" s="117"/>
      <c r="Q34" s="117"/>
      <c r="R34" s="117"/>
      <c r="S34" s="287"/>
    </row>
    <row r="35" spans="1:19" ht="14.25" hidden="1" customHeight="1">
      <c r="A35" s="249"/>
      <c r="B35" s="243"/>
      <c r="C35" s="126">
        <v>4</v>
      </c>
      <c r="D35" s="173"/>
      <c r="E35" s="206"/>
      <c r="F35" s="173"/>
      <c r="G35" s="173"/>
      <c r="H35" s="233"/>
      <c r="I35" s="173"/>
      <c r="J35" s="188"/>
      <c r="K35" s="201"/>
      <c r="L35" s="188"/>
      <c r="M35" s="174"/>
      <c r="N35" s="173"/>
      <c r="O35" s="173" t="s">
        <v>1896</v>
      </c>
      <c r="P35" s="117"/>
      <c r="Q35" s="117"/>
      <c r="R35" s="117"/>
      <c r="S35" s="287"/>
    </row>
    <row r="36" spans="1:19" ht="14.25" hidden="1" customHeight="1">
      <c r="A36" s="249"/>
      <c r="B36" s="243"/>
      <c r="C36" s="126">
        <v>5</v>
      </c>
      <c r="D36" s="173"/>
      <c r="E36" s="206"/>
      <c r="F36" s="173"/>
      <c r="G36" s="173"/>
      <c r="H36" s="233"/>
      <c r="I36" s="173"/>
      <c r="J36" s="188"/>
      <c r="K36" s="201"/>
      <c r="L36" s="188"/>
      <c r="M36" s="174"/>
      <c r="N36" s="173"/>
      <c r="O36" s="173" t="s">
        <v>1896</v>
      </c>
      <c r="P36" s="117"/>
      <c r="Q36" s="117"/>
      <c r="R36" s="117"/>
      <c r="S36" s="287"/>
    </row>
    <row r="37" spans="1:19" ht="14.25" hidden="1" customHeight="1">
      <c r="A37" s="249"/>
      <c r="B37" s="243"/>
      <c r="C37" s="126">
        <v>6</v>
      </c>
      <c r="D37" s="233" t="s">
        <v>1708</v>
      </c>
      <c r="E37" s="206"/>
      <c r="F37" s="173"/>
      <c r="G37" s="173"/>
      <c r="H37" s="233"/>
      <c r="I37" s="173"/>
      <c r="J37" s="188"/>
      <c r="K37" s="201"/>
      <c r="L37" s="188"/>
      <c r="M37" s="174"/>
      <c r="N37" s="173"/>
      <c r="O37" s="173" t="s">
        <v>1896</v>
      </c>
      <c r="P37" s="117"/>
      <c r="Q37" s="117"/>
      <c r="R37" s="117"/>
      <c r="S37" s="287"/>
    </row>
    <row r="38" spans="1:19" ht="14.25" hidden="1" customHeight="1">
      <c r="A38" s="249"/>
      <c r="B38" s="243"/>
      <c r="C38" s="126">
        <v>7</v>
      </c>
      <c r="D38" s="234"/>
      <c r="E38" s="207"/>
      <c r="F38" s="174"/>
      <c r="G38" s="174"/>
      <c r="H38" s="233"/>
      <c r="I38" s="173"/>
      <c r="J38" s="188"/>
      <c r="K38" s="201"/>
      <c r="L38" s="188"/>
      <c r="M38" s="174"/>
      <c r="N38" s="173"/>
      <c r="O38" s="173" t="s">
        <v>1896</v>
      </c>
      <c r="P38" s="117"/>
      <c r="Q38" s="117"/>
      <c r="R38" s="117"/>
      <c r="S38" s="287"/>
    </row>
    <row r="39" spans="1:19" ht="14.25" hidden="1" customHeight="1">
      <c r="A39" s="249"/>
      <c r="B39" s="243"/>
      <c r="C39" s="126">
        <v>8</v>
      </c>
      <c r="D39" s="234"/>
      <c r="E39" s="207"/>
      <c r="F39" s="174"/>
      <c r="G39" s="174"/>
      <c r="H39" s="233"/>
      <c r="I39" s="173"/>
      <c r="J39" s="188"/>
      <c r="K39" s="201"/>
      <c r="L39" s="188"/>
      <c r="M39" s="174"/>
      <c r="N39" s="173"/>
      <c r="O39" s="173" t="s">
        <v>1896</v>
      </c>
      <c r="P39" s="117"/>
      <c r="Q39" s="117"/>
      <c r="R39" s="117"/>
      <c r="S39" s="287"/>
    </row>
    <row r="40" spans="1:19" ht="14.25" hidden="1" customHeight="1">
      <c r="A40" s="249"/>
      <c r="B40" s="243"/>
      <c r="C40" s="126">
        <v>9</v>
      </c>
      <c r="D40" s="173"/>
      <c r="E40" s="206"/>
      <c r="F40" s="173"/>
      <c r="G40" s="173"/>
      <c r="H40" s="233"/>
      <c r="I40" s="173"/>
      <c r="J40" s="188"/>
      <c r="K40" s="201"/>
      <c r="L40" s="188"/>
      <c r="M40" s="174"/>
      <c r="N40" s="173"/>
      <c r="O40" s="173" t="s">
        <v>1896</v>
      </c>
      <c r="P40" s="117"/>
      <c r="Q40" s="117"/>
      <c r="R40" s="117"/>
      <c r="S40" s="287"/>
    </row>
    <row r="41" spans="1:19" ht="14.25" hidden="1" customHeight="1">
      <c r="A41" s="249"/>
      <c r="B41" s="243"/>
      <c r="C41" s="126">
        <v>10</v>
      </c>
      <c r="D41" s="173"/>
      <c r="E41" s="206"/>
      <c r="F41" s="173"/>
      <c r="G41" s="173"/>
      <c r="H41" s="233"/>
      <c r="I41" s="173"/>
      <c r="J41" s="188"/>
      <c r="K41" s="201"/>
      <c r="L41" s="188"/>
      <c r="M41" s="174"/>
      <c r="N41" s="173"/>
      <c r="O41" s="173" t="s">
        <v>1896</v>
      </c>
      <c r="P41" s="117"/>
      <c r="Q41" s="117"/>
      <c r="R41" s="117"/>
      <c r="S41" s="287"/>
    </row>
    <row r="42" spans="1:19" ht="14.25" hidden="1" customHeight="1">
      <c r="A42" s="249"/>
      <c r="B42" s="243"/>
      <c r="C42" s="126">
        <v>11</v>
      </c>
      <c r="D42" s="173"/>
      <c r="E42" s="206"/>
      <c r="F42" s="173"/>
      <c r="G42" s="173"/>
      <c r="H42" s="233"/>
      <c r="I42" s="173"/>
      <c r="J42" s="188"/>
      <c r="K42" s="201"/>
      <c r="L42" s="188"/>
      <c r="M42" s="174"/>
      <c r="N42" s="173"/>
      <c r="O42" s="173" t="s">
        <v>1896</v>
      </c>
      <c r="P42" s="117"/>
      <c r="Q42" s="117"/>
      <c r="R42" s="117"/>
      <c r="S42" s="287"/>
    </row>
    <row r="43" spans="1:19" ht="14.25" hidden="1" customHeight="1">
      <c r="A43" s="249"/>
      <c r="B43" s="244"/>
      <c r="C43" s="126">
        <v>12</v>
      </c>
      <c r="D43" s="173"/>
      <c r="E43" s="206"/>
      <c r="F43" s="173"/>
      <c r="G43" s="173"/>
      <c r="H43" s="233"/>
      <c r="I43" s="173"/>
      <c r="J43" s="188"/>
      <c r="K43" s="201"/>
      <c r="L43" s="188"/>
      <c r="M43" s="174"/>
      <c r="N43" s="173"/>
      <c r="O43" s="173" t="s">
        <v>1896</v>
      </c>
      <c r="P43" s="117"/>
      <c r="Q43" s="117"/>
      <c r="R43" s="117"/>
      <c r="S43" s="287"/>
    </row>
    <row r="44" spans="1:19" ht="14.25" hidden="1" customHeight="1">
      <c r="A44" s="249">
        <v>42</v>
      </c>
      <c r="B44" s="242">
        <v>2030</v>
      </c>
      <c r="C44" s="126">
        <v>1</v>
      </c>
      <c r="D44" s="172"/>
      <c r="E44" s="209"/>
      <c r="F44" s="172"/>
      <c r="G44" s="172"/>
      <c r="H44" s="231" t="s">
        <v>2535</v>
      </c>
      <c r="I44" s="190"/>
      <c r="K44" s="203"/>
      <c r="M44" s="176"/>
      <c r="N44" s="172"/>
      <c r="O44" s="172" t="s">
        <v>1896</v>
      </c>
      <c r="P44" s="117"/>
      <c r="Q44" s="117"/>
      <c r="R44" s="117"/>
      <c r="S44" s="287"/>
    </row>
    <row r="45" spans="1:19" ht="14.25" hidden="1" customHeight="1">
      <c r="A45" s="249"/>
      <c r="B45" s="243"/>
      <c r="C45" s="126">
        <v>2</v>
      </c>
      <c r="D45" s="117"/>
      <c r="E45" s="206"/>
      <c r="F45" s="117"/>
      <c r="G45" s="117"/>
      <c r="H45" s="231"/>
      <c r="I45" s="140"/>
      <c r="K45" s="203"/>
      <c r="M45" s="127"/>
      <c r="N45" s="117"/>
      <c r="O45" s="117" t="s">
        <v>1896</v>
      </c>
      <c r="P45" s="117"/>
      <c r="Q45" s="117"/>
      <c r="R45" s="117"/>
      <c r="S45" s="287"/>
    </row>
    <row r="46" spans="1:19" ht="14.25" hidden="1" customHeight="1">
      <c r="A46" s="249"/>
      <c r="B46" s="243"/>
      <c r="C46" s="126">
        <v>3</v>
      </c>
      <c r="D46" s="117"/>
      <c r="E46" s="206"/>
      <c r="F46" s="117"/>
      <c r="G46" s="117"/>
      <c r="H46" s="231"/>
      <c r="I46" s="140"/>
      <c r="K46" s="203"/>
      <c r="M46" s="127"/>
      <c r="N46" s="117"/>
      <c r="O46" s="117" t="s">
        <v>1896</v>
      </c>
      <c r="P46" s="117"/>
      <c r="Q46" s="117"/>
      <c r="R46" s="117"/>
      <c r="S46" s="287"/>
    </row>
    <row r="47" spans="1:19" ht="14.25" hidden="1" customHeight="1">
      <c r="A47" s="249"/>
      <c r="B47" s="243"/>
      <c r="C47" s="126">
        <v>4</v>
      </c>
      <c r="D47" s="117"/>
      <c r="E47" s="206"/>
      <c r="F47" s="117"/>
      <c r="G47" s="117"/>
      <c r="H47" s="231"/>
      <c r="I47" s="140"/>
      <c r="K47" s="203"/>
      <c r="M47" s="127"/>
      <c r="N47" s="117"/>
      <c r="O47" s="117" t="s">
        <v>1896</v>
      </c>
      <c r="P47" s="117"/>
      <c r="Q47" s="117"/>
      <c r="R47" s="117"/>
      <c r="S47" s="287"/>
    </row>
    <row r="48" spans="1:19" ht="14.25" hidden="1" customHeight="1">
      <c r="A48" s="249"/>
      <c r="B48" s="243"/>
      <c r="C48" s="126">
        <v>5</v>
      </c>
      <c r="D48" s="117"/>
      <c r="E48" s="206"/>
      <c r="F48" s="117"/>
      <c r="G48" s="117"/>
      <c r="H48" s="231"/>
      <c r="I48" s="140"/>
      <c r="K48" s="203"/>
      <c r="M48" s="127"/>
      <c r="N48" s="117"/>
      <c r="O48" s="117" t="s">
        <v>1896</v>
      </c>
      <c r="P48" s="117"/>
      <c r="Q48" s="117"/>
      <c r="R48" s="117"/>
      <c r="S48" s="287"/>
    </row>
    <row r="49" spans="1:19" ht="14.25" hidden="1" customHeight="1">
      <c r="A49" s="249"/>
      <c r="B49" s="243"/>
      <c r="C49" s="126">
        <v>6</v>
      </c>
      <c r="D49" s="117"/>
      <c r="E49" s="206"/>
      <c r="F49" s="117"/>
      <c r="G49" s="117"/>
      <c r="H49" s="231"/>
      <c r="I49" s="140"/>
      <c r="K49" s="203"/>
      <c r="M49" s="127"/>
      <c r="N49" s="117"/>
      <c r="O49" s="117" t="s">
        <v>1896</v>
      </c>
      <c r="P49" s="117"/>
      <c r="Q49" s="117"/>
      <c r="R49" s="117"/>
      <c r="S49" s="287"/>
    </row>
    <row r="50" spans="1:19" ht="14.25" hidden="1" customHeight="1">
      <c r="A50" s="249"/>
      <c r="B50" s="243"/>
      <c r="C50" s="126">
        <v>7</v>
      </c>
      <c r="D50" s="117"/>
      <c r="E50" s="206"/>
      <c r="F50" s="117"/>
      <c r="G50" s="117"/>
      <c r="H50" s="231"/>
      <c r="I50" s="140" t="s">
        <v>1741</v>
      </c>
      <c r="K50" s="203"/>
      <c r="M50" s="127"/>
      <c r="N50" s="117"/>
      <c r="O50" s="117" t="s">
        <v>1896</v>
      </c>
      <c r="P50" s="117"/>
      <c r="Q50" s="117"/>
      <c r="R50" s="117"/>
      <c r="S50" s="287"/>
    </row>
    <row r="51" spans="1:19" ht="14.25" hidden="1" customHeight="1">
      <c r="A51" s="249"/>
      <c r="B51" s="243"/>
      <c r="C51" s="126">
        <v>8</v>
      </c>
      <c r="D51" s="117"/>
      <c r="E51" s="206"/>
      <c r="F51" s="117"/>
      <c r="G51" s="117"/>
      <c r="H51" s="231"/>
      <c r="I51" s="140"/>
      <c r="K51" s="203"/>
      <c r="M51" s="127"/>
      <c r="N51" s="117"/>
      <c r="O51" s="117" t="s">
        <v>1896</v>
      </c>
      <c r="P51" s="117"/>
      <c r="Q51" s="117"/>
      <c r="R51" s="117"/>
      <c r="S51" s="287"/>
    </row>
    <row r="52" spans="1:19" ht="14.25" hidden="1" customHeight="1">
      <c r="A52" s="249"/>
      <c r="B52" s="243"/>
      <c r="C52" s="126">
        <v>9</v>
      </c>
      <c r="D52" s="117"/>
      <c r="E52" s="206"/>
      <c r="F52" s="117"/>
      <c r="G52" s="117"/>
      <c r="H52" s="231"/>
      <c r="I52" s="140"/>
      <c r="K52" s="203"/>
      <c r="M52" s="127"/>
      <c r="N52" s="117"/>
      <c r="O52" s="117" t="s">
        <v>1896</v>
      </c>
      <c r="P52" s="117"/>
      <c r="Q52" s="117"/>
      <c r="R52" s="117"/>
      <c r="S52" s="287"/>
    </row>
    <row r="53" spans="1:19" ht="14.25" hidden="1" customHeight="1">
      <c r="A53" s="249"/>
      <c r="B53" s="243"/>
      <c r="C53" s="126">
        <v>10</v>
      </c>
      <c r="D53" s="117"/>
      <c r="E53" s="206"/>
      <c r="F53" s="117"/>
      <c r="G53" s="117"/>
      <c r="H53" s="231"/>
      <c r="I53" s="140"/>
      <c r="K53" s="203"/>
      <c r="M53" s="127"/>
      <c r="N53" s="117"/>
      <c r="O53" s="117" t="s">
        <v>1896</v>
      </c>
      <c r="P53" s="117"/>
      <c r="Q53" s="117"/>
      <c r="R53" s="117"/>
      <c r="S53" s="287"/>
    </row>
    <row r="54" spans="1:19" ht="14.25" hidden="1" customHeight="1">
      <c r="A54" s="249"/>
      <c r="B54" s="243"/>
      <c r="C54" s="126">
        <v>11</v>
      </c>
      <c r="D54" s="117"/>
      <c r="E54" s="206"/>
      <c r="F54" s="117"/>
      <c r="G54" s="117"/>
      <c r="H54" s="231"/>
      <c r="I54" s="140"/>
      <c r="K54" s="203"/>
      <c r="M54" s="127"/>
      <c r="N54" s="117"/>
      <c r="O54" s="117" t="s">
        <v>1896</v>
      </c>
      <c r="P54" s="117"/>
      <c r="Q54" s="117"/>
      <c r="R54" s="117"/>
      <c r="S54" s="287"/>
    </row>
    <row r="55" spans="1:19" ht="14.25" hidden="1" customHeight="1">
      <c r="A55" s="249"/>
      <c r="B55" s="244"/>
      <c r="C55" s="126">
        <v>12</v>
      </c>
      <c r="D55" s="117"/>
      <c r="E55" s="206"/>
      <c r="F55" s="117"/>
      <c r="G55" s="117"/>
      <c r="H55" s="232"/>
      <c r="I55" s="140"/>
      <c r="K55" s="190"/>
      <c r="M55" s="127"/>
      <c r="N55" s="117"/>
      <c r="O55" s="117" t="s">
        <v>1896</v>
      </c>
      <c r="P55" s="117"/>
      <c r="Q55" s="117"/>
      <c r="R55" s="117"/>
      <c r="S55" s="287"/>
    </row>
    <row r="56" spans="1:19" ht="14.25" hidden="1" customHeight="1"/>
    <row r="57" spans="1:19" ht="14.25" hidden="1" customHeight="1"/>
    <row r="58" spans="1:19"/>
    <row r="59" spans="1:19"/>
    <row r="60" spans="1:19"/>
  </sheetData>
  <mergeCells count="28">
    <mergeCell ref="H44:H55"/>
    <mergeCell ref="D25:D27"/>
    <mergeCell ref="F5:F8"/>
    <mergeCell ref="H20:H43"/>
    <mergeCell ref="H5:H19"/>
    <mergeCell ref="A20:A31"/>
    <mergeCell ref="B20:B31"/>
    <mergeCell ref="A8:A19"/>
    <mergeCell ref="B8:B19"/>
    <mergeCell ref="G14:G19"/>
    <mergeCell ref="A44:A55"/>
    <mergeCell ref="B44:B55"/>
    <mergeCell ref="A32:A43"/>
    <mergeCell ref="B32:B43"/>
    <mergeCell ref="D37:D39"/>
    <mergeCell ref="K4:K6"/>
    <mergeCell ref="E11:E13"/>
    <mergeCell ref="G8:G13"/>
    <mergeCell ref="K7:K10"/>
    <mergeCell ref="A1:C3"/>
    <mergeCell ref="G5:G7"/>
    <mergeCell ref="B4:B7"/>
    <mergeCell ref="A4:A7"/>
    <mergeCell ref="D2:E2"/>
    <mergeCell ref="D1:E1"/>
    <mergeCell ref="D6:D7"/>
    <mergeCell ref="D8:D9"/>
    <mergeCell ref="E8:E9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45710-400D-4D60-A480-1DA6D8C7C76B}">
  <sheetPr>
    <tabColor theme="4" tint="0.79998168889431442"/>
  </sheetPr>
  <dimension ref="A1:R133"/>
  <sheetViews>
    <sheetView workbookViewId="0">
      <pane xSplit="2" ySplit="1" topLeftCell="C2" activePane="bottomRight" state="frozen"/>
      <selection pane="topRight" activeCell="D1" sqref="D1"/>
      <selection pane="bottomLeft" activeCell="A3" sqref="A3"/>
      <selection pane="bottomRight" activeCell="G4" sqref="G4"/>
    </sheetView>
  </sheetViews>
  <sheetFormatPr defaultColWidth="0" defaultRowHeight="14.25" zeroHeight="1"/>
  <cols>
    <col min="1" max="1" width="7.25" style="178" bestFit="1" customWidth="1"/>
    <col min="2" max="2" width="4.25" style="178" bestFit="1" customWidth="1"/>
    <col min="3" max="3" width="9" style="169" bestFit="1" customWidth="1"/>
    <col min="4" max="4" width="21.375" style="169" customWidth="1"/>
    <col min="5" max="5" width="12.125" style="169" customWidth="1"/>
    <col min="6" max="6" width="18.375" style="169" customWidth="1"/>
    <col min="7" max="7" width="20.5" style="169" customWidth="1"/>
    <col min="8" max="11" width="19.125" style="169" customWidth="1"/>
    <col min="12" max="13" width="19.125" style="158" customWidth="1"/>
    <col min="14" max="16" width="11.625" style="169" customWidth="1"/>
    <col min="17" max="17" width="9" style="169" customWidth="1"/>
    <col min="18" max="18" width="0" style="169" hidden="1" customWidth="1"/>
    <col min="19" max="16384" width="9" style="169" hidden="1"/>
  </cols>
  <sheetData>
    <row r="1" spans="1:16" s="183" customFormat="1" ht="31.5">
      <c r="C1" s="186" t="s">
        <v>242</v>
      </c>
      <c r="D1" s="186" t="s">
        <v>1723</v>
      </c>
      <c r="E1" s="186" t="s">
        <v>2548</v>
      </c>
      <c r="F1" s="197" t="s">
        <v>2883</v>
      </c>
      <c r="G1" s="186" t="s">
        <v>1528</v>
      </c>
      <c r="H1" s="186" t="s">
        <v>2543</v>
      </c>
      <c r="I1" s="186" t="s">
        <v>1498</v>
      </c>
      <c r="J1" s="186" t="s">
        <v>1527</v>
      </c>
      <c r="K1" s="186" t="s">
        <v>1775</v>
      </c>
      <c r="L1" s="252" t="s">
        <v>1513</v>
      </c>
      <c r="M1" s="253"/>
      <c r="N1" s="186" t="s">
        <v>1776</v>
      </c>
      <c r="O1" s="186" t="s">
        <v>1515</v>
      </c>
      <c r="P1" s="186" t="s">
        <v>1518</v>
      </c>
    </row>
    <row r="2" spans="1:16" ht="90">
      <c r="A2" s="179">
        <v>46274</v>
      </c>
      <c r="B2" s="177" t="s">
        <v>1523</v>
      </c>
      <c r="C2" s="167" t="s">
        <v>2547</v>
      </c>
      <c r="D2" s="167" t="s">
        <v>2557</v>
      </c>
      <c r="E2" s="177" t="s">
        <v>1517</v>
      </c>
      <c r="F2" s="195" t="s">
        <v>2884</v>
      </c>
      <c r="G2" s="213"/>
      <c r="H2" s="177" t="s">
        <v>1517</v>
      </c>
      <c r="I2" s="177" t="s">
        <v>1517</v>
      </c>
      <c r="J2" s="177" t="s">
        <v>1517</v>
      </c>
      <c r="K2" s="177" t="s">
        <v>1517</v>
      </c>
      <c r="L2" s="191" t="s">
        <v>1517</v>
      </c>
      <c r="M2" s="191" t="s">
        <v>1517</v>
      </c>
      <c r="N2" s="177"/>
      <c r="O2" s="177" t="s">
        <v>1517</v>
      </c>
      <c r="P2" s="177" t="s">
        <v>1517</v>
      </c>
    </row>
    <row r="3" spans="1:16" ht="90">
      <c r="A3" s="179">
        <v>46275</v>
      </c>
      <c r="B3" s="177" t="s">
        <v>1524</v>
      </c>
      <c r="C3" s="167" t="s">
        <v>2547</v>
      </c>
      <c r="D3" s="167" t="s">
        <v>2557</v>
      </c>
      <c r="E3" s="177" t="s">
        <v>1517</v>
      </c>
      <c r="F3" s="195" t="s">
        <v>2884</v>
      </c>
      <c r="G3" s="213"/>
      <c r="H3" s="177" t="s">
        <v>1517</v>
      </c>
      <c r="I3" s="177" t="s">
        <v>1517</v>
      </c>
      <c r="J3" s="177" t="s">
        <v>1517</v>
      </c>
      <c r="K3" s="177" t="s">
        <v>1517</v>
      </c>
      <c r="L3" s="191" t="s">
        <v>1517</v>
      </c>
      <c r="M3" s="191" t="s">
        <v>1517</v>
      </c>
      <c r="N3" s="177" t="s">
        <v>1519</v>
      </c>
      <c r="O3" s="177" t="s">
        <v>1517</v>
      </c>
      <c r="P3" s="177" t="s">
        <v>1517</v>
      </c>
    </row>
    <row r="4" spans="1:16" ht="90">
      <c r="A4" s="179">
        <v>46276</v>
      </c>
      <c r="B4" s="177" t="s">
        <v>1525</v>
      </c>
      <c r="C4" s="167" t="s">
        <v>2547</v>
      </c>
      <c r="D4" s="167" t="s">
        <v>2557</v>
      </c>
      <c r="E4" s="177" t="s">
        <v>1517</v>
      </c>
      <c r="F4" s="195" t="s">
        <v>2884</v>
      </c>
      <c r="G4" s="213"/>
      <c r="H4" s="177" t="s">
        <v>1517</v>
      </c>
      <c r="I4" s="177" t="s">
        <v>1517</v>
      </c>
      <c r="J4" s="177" t="s">
        <v>1517</v>
      </c>
      <c r="K4" s="177" t="s">
        <v>1517</v>
      </c>
      <c r="L4" s="191" t="s">
        <v>1517</v>
      </c>
      <c r="M4" s="191" t="s">
        <v>1517</v>
      </c>
      <c r="N4" s="177"/>
      <c r="O4" s="177" t="s">
        <v>1517</v>
      </c>
      <c r="P4" s="177" t="s">
        <v>1517</v>
      </c>
    </row>
    <row r="5" spans="1:16" ht="90">
      <c r="A5" s="179">
        <v>46277</v>
      </c>
      <c r="B5" s="177" t="s">
        <v>1526</v>
      </c>
      <c r="C5" s="167" t="s">
        <v>2547</v>
      </c>
      <c r="D5" s="167" t="s">
        <v>2557</v>
      </c>
      <c r="E5" s="177" t="s">
        <v>1517</v>
      </c>
      <c r="F5" s="195" t="s">
        <v>2884</v>
      </c>
      <c r="G5" s="213"/>
      <c r="H5" s="177" t="s">
        <v>1517</v>
      </c>
      <c r="I5" s="177" t="s">
        <v>1517</v>
      </c>
      <c r="J5" s="177" t="s">
        <v>1517</v>
      </c>
      <c r="K5" s="177" t="s">
        <v>1517</v>
      </c>
      <c r="L5" s="191" t="s">
        <v>1517</v>
      </c>
      <c r="M5" s="191" t="s">
        <v>1517</v>
      </c>
      <c r="N5" s="177" t="s">
        <v>216</v>
      </c>
      <c r="O5" s="177" t="s">
        <v>1517</v>
      </c>
      <c r="P5" s="177" t="s">
        <v>1517</v>
      </c>
    </row>
    <row r="6" spans="1:16" ht="90">
      <c r="A6" s="179">
        <v>46278</v>
      </c>
      <c r="B6" s="177" t="s">
        <v>1520</v>
      </c>
      <c r="C6" s="167" t="s">
        <v>2547</v>
      </c>
      <c r="D6" s="167" t="s">
        <v>2557</v>
      </c>
      <c r="E6" s="177" t="s">
        <v>2551</v>
      </c>
      <c r="F6" s="195" t="s">
        <v>2884</v>
      </c>
      <c r="G6" s="170" t="s">
        <v>2549</v>
      </c>
      <c r="H6" s="184" t="s">
        <v>2560</v>
      </c>
      <c r="I6" s="177" t="s">
        <v>1517</v>
      </c>
      <c r="J6" s="177" t="s">
        <v>1517</v>
      </c>
      <c r="K6" s="177" t="s">
        <v>1517</v>
      </c>
      <c r="L6" s="121" t="s">
        <v>2595</v>
      </c>
      <c r="M6" s="121" t="s">
        <v>2755</v>
      </c>
      <c r="N6" s="177"/>
      <c r="O6" s="177" t="s">
        <v>1517</v>
      </c>
      <c r="P6" s="177"/>
    </row>
    <row r="7" spans="1:16" ht="90">
      <c r="A7" s="179">
        <v>46279</v>
      </c>
      <c r="B7" s="177" t="s">
        <v>1521</v>
      </c>
      <c r="C7" s="167" t="s">
        <v>2547</v>
      </c>
      <c r="D7" s="167" t="s">
        <v>2557</v>
      </c>
      <c r="E7" s="177" t="s">
        <v>2552</v>
      </c>
      <c r="F7" s="195" t="s">
        <v>2884</v>
      </c>
      <c r="G7" s="198" t="s">
        <v>2885</v>
      </c>
      <c r="H7" s="184" t="s">
        <v>2560</v>
      </c>
      <c r="I7" s="177" t="s">
        <v>1517</v>
      </c>
      <c r="J7" s="177" t="s">
        <v>1517</v>
      </c>
      <c r="K7" s="177" t="s">
        <v>1517</v>
      </c>
      <c r="L7" s="121" t="s">
        <v>2596</v>
      </c>
      <c r="M7" s="121" t="s">
        <v>2756</v>
      </c>
      <c r="N7" s="177" t="s">
        <v>216</v>
      </c>
      <c r="O7" s="177" t="s">
        <v>1517</v>
      </c>
      <c r="P7" s="177"/>
    </row>
    <row r="8" spans="1:16" ht="90">
      <c r="A8" s="179">
        <v>46280</v>
      </c>
      <c r="B8" s="177" t="s">
        <v>1522</v>
      </c>
      <c r="C8" s="167" t="s">
        <v>2547</v>
      </c>
      <c r="D8" s="167" t="s">
        <v>2557</v>
      </c>
      <c r="E8" s="177" t="s">
        <v>2553</v>
      </c>
      <c r="F8" s="195" t="s">
        <v>2884</v>
      </c>
      <c r="G8" s="198" t="s">
        <v>2885</v>
      </c>
      <c r="H8" s="184" t="s">
        <v>2560</v>
      </c>
      <c r="I8" s="177" t="s">
        <v>1517</v>
      </c>
      <c r="J8" s="177" t="s">
        <v>1517</v>
      </c>
      <c r="K8" s="177" t="s">
        <v>1517</v>
      </c>
      <c r="L8" s="121" t="s">
        <v>2597</v>
      </c>
      <c r="M8" s="121" t="s">
        <v>2757</v>
      </c>
      <c r="N8" s="177" t="s">
        <v>1519</v>
      </c>
      <c r="O8" s="177" t="s">
        <v>1517</v>
      </c>
      <c r="P8" s="177"/>
    </row>
    <row r="9" spans="1:16" ht="90">
      <c r="A9" s="179">
        <v>46281</v>
      </c>
      <c r="B9" s="177" t="s">
        <v>1523</v>
      </c>
      <c r="C9" s="167" t="s">
        <v>2547</v>
      </c>
      <c r="D9" s="167" t="s">
        <v>2557</v>
      </c>
      <c r="E9" s="177" t="s">
        <v>2554</v>
      </c>
      <c r="F9" s="195" t="s">
        <v>2884</v>
      </c>
      <c r="G9" s="198" t="s">
        <v>2885</v>
      </c>
      <c r="H9" s="184" t="s">
        <v>2560</v>
      </c>
      <c r="I9" s="177" t="s">
        <v>1517</v>
      </c>
      <c r="J9" s="177" t="s">
        <v>1517</v>
      </c>
      <c r="K9" s="177" t="s">
        <v>1517</v>
      </c>
      <c r="L9" s="121" t="s">
        <v>2598</v>
      </c>
      <c r="M9" s="121" t="s">
        <v>2758</v>
      </c>
      <c r="N9" s="177"/>
      <c r="O9" s="177" t="s">
        <v>1517</v>
      </c>
      <c r="P9" s="177"/>
    </row>
    <row r="10" spans="1:16" ht="90">
      <c r="A10" s="179">
        <v>46282</v>
      </c>
      <c r="B10" s="177" t="s">
        <v>1524</v>
      </c>
      <c r="C10" s="167" t="s">
        <v>2547</v>
      </c>
      <c r="D10" s="167" t="s">
        <v>2557</v>
      </c>
      <c r="E10" s="177" t="s">
        <v>2555</v>
      </c>
      <c r="F10" s="195" t="s">
        <v>2884</v>
      </c>
      <c r="G10" s="177" t="s">
        <v>2886</v>
      </c>
      <c r="H10" s="184" t="s">
        <v>2560</v>
      </c>
      <c r="I10" s="177" t="s">
        <v>1517</v>
      </c>
      <c r="J10" s="177" t="s">
        <v>1517</v>
      </c>
      <c r="K10" s="177" t="s">
        <v>1517</v>
      </c>
      <c r="L10" s="121" t="s">
        <v>2599</v>
      </c>
      <c r="M10" s="121" t="s">
        <v>2759</v>
      </c>
      <c r="N10" s="177" t="s">
        <v>1519</v>
      </c>
      <c r="O10" s="177" t="s">
        <v>1517</v>
      </c>
      <c r="P10" s="177"/>
    </row>
    <row r="11" spans="1:16" ht="90">
      <c r="A11" s="179">
        <v>46283</v>
      </c>
      <c r="B11" s="177" t="s">
        <v>1525</v>
      </c>
      <c r="C11" s="167" t="s">
        <v>2547</v>
      </c>
      <c r="D11" s="167" t="s">
        <v>2557</v>
      </c>
      <c r="E11" s="177" t="s">
        <v>2556</v>
      </c>
      <c r="F11" s="195" t="s">
        <v>2884</v>
      </c>
      <c r="G11" s="177" t="s">
        <v>2636</v>
      </c>
      <c r="H11" s="184" t="s">
        <v>2560</v>
      </c>
      <c r="I11" s="177" t="s">
        <v>1517</v>
      </c>
      <c r="J11" s="177" t="s">
        <v>1517</v>
      </c>
      <c r="K11" s="177" t="s">
        <v>1517</v>
      </c>
      <c r="L11" s="121" t="s">
        <v>2600</v>
      </c>
      <c r="M11" s="121" t="s">
        <v>2760</v>
      </c>
      <c r="N11" s="177"/>
      <c r="O11" s="177" t="s">
        <v>1517</v>
      </c>
      <c r="P11" s="177"/>
    </row>
    <row r="12" spans="1:16" ht="90">
      <c r="A12" s="179">
        <v>46284</v>
      </c>
      <c r="B12" s="177" t="s">
        <v>1526</v>
      </c>
      <c r="C12" s="167" t="s">
        <v>2547</v>
      </c>
      <c r="D12" s="167" t="s">
        <v>2557</v>
      </c>
      <c r="E12" s="177" t="s">
        <v>2562</v>
      </c>
      <c r="F12" s="195" t="s">
        <v>2884</v>
      </c>
      <c r="G12" s="177" t="s">
        <v>2637</v>
      </c>
      <c r="H12" s="184" t="s">
        <v>2560</v>
      </c>
      <c r="I12" s="177" t="s">
        <v>1517</v>
      </c>
      <c r="J12" s="177" t="s">
        <v>1517</v>
      </c>
      <c r="K12" s="177" t="s">
        <v>1517</v>
      </c>
      <c r="L12" s="121" t="s">
        <v>2601</v>
      </c>
      <c r="M12" s="121" t="s">
        <v>2761</v>
      </c>
      <c r="N12" s="177" t="s">
        <v>216</v>
      </c>
      <c r="O12" s="177" t="s">
        <v>1517</v>
      </c>
      <c r="P12" s="177"/>
    </row>
    <row r="13" spans="1:16" ht="90">
      <c r="A13" s="179">
        <v>46285</v>
      </c>
      <c r="B13" s="177" t="s">
        <v>1520</v>
      </c>
      <c r="C13" s="167" t="s">
        <v>2547</v>
      </c>
      <c r="D13" s="167" t="s">
        <v>2557</v>
      </c>
      <c r="E13" s="177" t="s">
        <v>2562</v>
      </c>
      <c r="F13" s="195" t="s">
        <v>2884</v>
      </c>
      <c r="G13" s="177" t="s">
        <v>2638</v>
      </c>
      <c r="H13" s="184" t="s">
        <v>2560</v>
      </c>
      <c r="I13" s="177" t="s">
        <v>1517</v>
      </c>
      <c r="J13" s="177" t="s">
        <v>1517</v>
      </c>
      <c r="K13" s="177" t="s">
        <v>1517</v>
      </c>
      <c r="L13" s="121" t="s">
        <v>2602</v>
      </c>
      <c r="M13" s="121" t="s">
        <v>2762</v>
      </c>
      <c r="N13" s="177"/>
      <c r="O13" s="177" t="s">
        <v>1517</v>
      </c>
      <c r="P13" s="177"/>
    </row>
    <row r="14" spans="1:16" ht="90">
      <c r="A14" s="179">
        <v>46286</v>
      </c>
      <c r="B14" s="177" t="s">
        <v>1521</v>
      </c>
      <c r="C14" s="167" t="s">
        <v>2547</v>
      </c>
      <c r="D14" s="167" t="s">
        <v>2557</v>
      </c>
      <c r="E14" s="177" t="s">
        <v>2562</v>
      </c>
      <c r="F14" s="195" t="s">
        <v>2884</v>
      </c>
      <c r="G14" s="177" t="s">
        <v>2639</v>
      </c>
      <c r="H14" s="184" t="s">
        <v>2560</v>
      </c>
      <c r="I14" s="177" t="s">
        <v>1517</v>
      </c>
      <c r="J14" s="177" t="s">
        <v>1517</v>
      </c>
      <c r="K14" s="177" t="s">
        <v>1517</v>
      </c>
      <c r="L14" s="121" t="s">
        <v>2603</v>
      </c>
      <c r="M14" s="121" t="s">
        <v>2763</v>
      </c>
      <c r="N14" s="177" t="s">
        <v>216</v>
      </c>
      <c r="O14" s="177" t="s">
        <v>1517</v>
      </c>
      <c r="P14" s="177"/>
    </row>
    <row r="15" spans="1:16" ht="90">
      <c r="A15" s="179">
        <v>46287</v>
      </c>
      <c r="B15" s="177" t="s">
        <v>1522</v>
      </c>
      <c r="C15" s="167" t="s">
        <v>2547</v>
      </c>
      <c r="D15" s="167" t="s">
        <v>2557</v>
      </c>
      <c r="E15" s="177" t="s">
        <v>2562</v>
      </c>
      <c r="F15" s="195" t="s">
        <v>2884</v>
      </c>
      <c r="G15" s="177" t="s">
        <v>2640</v>
      </c>
      <c r="H15" s="184" t="s">
        <v>2560</v>
      </c>
      <c r="I15" s="177" t="s">
        <v>1517</v>
      </c>
      <c r="J15" s="177" t="s">
        <v>1517</v>
      </c>
      <c r="K15" s="177" t="s">
        <v>1517</v>
      </c>
      <c r="L15" s="121" t="s">
        <v>2604</v>
      </c>
      <c r="M15" s="121" t="s">
        <v>2764</v>
      </c>
      <c r="N15" s="177" t="s">
        <v>1519</v>
      </c>
      <c r="O15" s="177" t="s">
        <v>1517</v>
      </c>
      <c r="P15" s="177"/>
    </row>
    <row r="16" spans="1:16" ht="90">
      <c r="A16" s="179">
        <v>46288</v>
      </c>
      <c r="B16" s="177" t="s">
        <v>1523</v>
      </c>
      <c r="C16" s="167" t="s">
        <v>2547</v>
      </c>
      <c r="D16" s="167" t="s">
        <v>2557</v>
      </c>
      <c r="E16" s="177" t="s">
        <v>2562</v>
      </c>
      <c r="F16" s="195" t="s">
        <v>2884</v>
      </c>
      <c r="G16" s="177" t="s">
        <v>2641</v>
      </c>
      <c r="H16" s="184" t="s">
        <v>2560</v>
      </c>
      <c r="I16" s="177" t="s">
        <v>1517</v>
      </c>
      <c r="J16" s="177" t="s">
        <v>1517</v>
      </c>
      <c r="K16" s="177" t="s">
        <v>1517</v>
      </c>
      <c r="L16" s="121" t="s">
        <v>2605</v>
      </c>
      <c r="M16" s="121" t="s">
        <v>2765</v>
      </c>
      <c r="N16" s="177"/>
      <c r="O16" s="177" t="s">
        <v>1517</v>
      </c>
      <c r="P16" s="177"/>
    </row>
    <row r="17" spans="1:16" ht="90">
      <c r="A17" s="179">
        <v>46289</v>
      </c>
      <c r="B17" s="177" t="s">
        <v>1524</v>
      </c>
      <c r="C17" s="167" t="s">
        <v>2547</v>
      </c>
      <c r="D17" s="167" t="s">
        <v>2557</v>
      </c>
      <c r="E17" s="177" t="s">
        <v>2562</v>
      </c>
      <c r="F17" s="195" t="s">
        <v>2884</v>
      </c>
      <c r="G17" s="181" t="s">
        <v>2550</v>
      </c>
      <c r="H17" s="177"/>
      <c r="I17" s="177" t="s">
        <v>1517</v>
      </c>
      <c r="J17" s="177" t="s">
        <v>1517</v>
      </c>
      <c r="K17" s="177" t="s">
        <v>1517</v>
      </c>
      <c r="L17" s="121" t="s">
        <v>2606</v>
      </c>
      <c r="M17" s="121" t="s">
        <v>2766</v>
      </c>
      <c r="N17" s="177" t="s">
        <v>1519</v>
      </c>
      <c r="O17" s="177" t="s">
        <v>1517</v>
      </c>
      <c r="P17" s="177"/>
    </row>
    <row r="18" spans="1:16" ht="90">
      <c r="A18" s="179">
        <v>46290</v>
      </c>
      <c r="B18" s="177" t="s">
        <v>1525</v>
      </c>
      <c r="C18" s="167" t="s">
        <v>2547</v>
      </c>
      <c r="D18" s="167" t="s">
        <v>2557</v>
      </c>
      <c r="E18" s="177" t="s">
        <v>2562</v>
      </c>
      <c r="F18" s="195" t="s">
        <v>2884</v>
      </c>
      <c r="G18" s="184" t="s">
        <v>2558</v>
      </c>
      <c r="H18" s="177"/>
      <c r="I18" s="177" t="s">
        <v>1517</v>
      </c>
      <c r="J18" s="177" t="s">
        <v>1517</v>
      </c>
      <c r="K18" s="177" t="s">
        <v>1517</v>
      </c>
      <c r="L18" s="121" t="s">
        <v>2607</v>
      </c>
      <c r="M18" s="121" t="s">
        <v>2767</v>
      </c>
      <c r="N18" s="177"/>
      <c r="O18" s="177" t="s">
        <v>1517</v>
      </c>
      <c r="P18" s="177"/>
    </row>
    <row r="19" spans="1:16" ht="90">
      <c r="A19" s="179">
        <v>46291</v>
      </c>
      <c r="B19" s="177" t="s">
        <v>1526</v>
      </c>
      <c r="C19" s="167" t="s">
        <v>2547</v>
      </c>
      <c r="D19" s="167" t="s">
        <v>2557</v>
      </c>
      <c r="E19" s="177" t="s">
        <v>2562</v>
      </c>
      <c r="F19" s="195" t="s">
        <v>2884</v>
      </c>
      <c r="G19" s="184" t="s">
        <v>2558</v>
      </c>
      <c r="H19" s="177"/>
      <c r="I19" s="177" t="s">
        <v>1517</v>
      </c>
      <c r="J19" s="177" t="s">
        <v>1517</v>
      </c>
      <c r="K19" s="177" t="s">
        <v>1517</v>
      </c>
      <c r="L19" s="121" t="s">
        <v>2608</v>
      </c>
      <c r="M19" s="121" t="s">
        <v>2768</v>
      </c>
      <c r="N19" s="177" t="s">
        <v>216</v>
      </c>
      <c r="O19" s="177" t="s">
        <v>1517</v>
      </c>
      <c r="P19" s="177"/>
    </row>
    <row r="20" spans="1:16" ht="90">
      <c r="A20" s="179">
        <v>46292</v>
      </c>
      <c r="B20" s="177" t="s">
        <v>1520</v>
      </c>
      <c r="C20" s="167" t="s">
        <v>2547</v>
      </c>
      <c r="D20" s="167" t="s">
        <v>2557</v>
      </c>
      <c r="E20" s="177" t="s">
        <v>2562</v>
      </c>
      <c r="F20" s="195" t="s">
        <v>2884</v>
      </c>
      <c r="G20" s="184" t="s">
        <v>2558</v>
      </c>
      <c r="H20" s="177"/>
      <c r="I20" s="177" t="s">
        <v>1517</v>
      </c>
      <c r="J20" s="177" t="s">
        <v>1517</v>
      </c>
      <c r="K20" s="177" t="s">
        <v>1517</v>
      </c>
      <c r="L20" s="121" t="s">
        <v>2609</v>
      </c>
      <c r="M20" s="121" t="s">
        <v>2769</v>
      </c>
      <c r="N20" s="177"/>
      <c r="O20" s="177" t="s">
        <v>1517</v>
      </c>
      <c r="P20" s="177"/>
    </row>
    <row r="21" spans="1:16" ht="90">
      <c r="A21" s="179">
        <v>46293</v>
      </c>
      <c r="B21" s="177" t="s">
        <v>1521</v>
      </c>
      <c r="C21" s="167" t="s">
        <v>2547</v>
      </c>
      <c r="D21" s="167" t="s">
        <v>2557</v>
      </c>
      <c r="E21" s="177" t="s">
        <v>2562</v>
      </c>
      <c r="F21" s="195" t="s">
        <v>2884</v>
      </c>
      <c r="G21" s="184" t="s">
        <v>2558</v>
      </c>
      <c r="H21" s="177"/>
      <c r="I21" s="177" t="s">
        <v>1517</v>
      </c>
      <c r="J21" s="177" t="s">
        <v>1517</v>
      </c>
      <c r="K21" s="177" t="s">
        <v>1517</v>
      </c>
      <c r="L21" s="121" t="s">
        <v>2610</v>
      </c>
      <c r="M21" s="121" t="s">
        <v>2770</v>
      </c>
      <c r="N21" s="177" t="s">
        <v>216</v>
      </c>
      <c r="O21" s="177" t="s">
        <v>1517</v>
      </c>
      <c r="P21" s="177"/>
    </row>
    <row r="22" spans="1:16" ht="90">
      <c r="A22" s="179">
        <v>46294</v>
      </c>
      <c r="B22" s="177" t="s">
        <v>1522</v>
      </c>
      <c r="C22" s="167" t="s">
        <v>2547</v>
      </c>
      <c r="D22" s="167" t="s">
        <v>2557</v>
      </c>
      <c r="E22" s="177" t="s">
        <v>2562</v>
      </c>
      <c r="F22" s="195" t="s">
        <v>2884</v>
      </c>
      <c r="G22" s="184" t="s">
        <v>2558</v>
      </c>
      <c r="H22" s="177"/>
      <c r="I22" s="177" t="s">
        <v>1517</v>
      </c>
      <c r="J22" s="177" t="s">
        <v>1517</v>
      </c>
      <c r="K22" s="177" t="s">
        <v>1517</v>
      </c>
      <c r="L22" s="121" t="s">
        <v>2611</v>
      </c>
      <c r="M22" s="121" t="s">
        <v>2771</v>
      </c>
      <c r="N22" s="177" t="s">
        <v>1519</v>
      </c>
      <c r="O22" s="177" t="s">
        <v>1517</v>
      </c>
      <c r="P22" s="177"/>
    </row>
    <row r="23" spans="1:16" ht="90">
      <c r="A23" s="179">
        <v>46295</v>
      </c>
      <c r="B23" s="177" t="s">
        <v>1523</v>
      </c>
      <c r="C23" s="167" t="s">
        <v>2547</v>
      </c>
      <c r="D23" s="167" t="s">
        <v>2557</v>
      </c>
      <c r="E23" s="177" t="s">
        <v>2562</v>
      </c>
      <c r="F23" s="195" t="s">
        <v>2884</v>
      </c>
      <c r="G23" s="184" t="s">
        <v>2558</v>
      </c>
      <c r="H23" s="177"/>
      <c r="I23" s="177" t="s">
        <v>1517</v>
      </c>
      <c r="J23" s="177" t="s">
        <v>1517</v>
      </c>
      <c r="K23" s="177" t="s">
        <v>1517</v>
      </c>
      <c r="L23" s="121" t="s">
        <v>2612</v>
      </c>
      <c r="M23" s="121" t="s">
        <v>2772</v>
      </c>
      <c r="N23" s="177"/>
      <c r="O23" s="177" t="s">
        <v>1517</v>
      </c>
      <c r="P23" s="177"/>
    </row>
    <row r="24" spans="1:16" ht="90">
      <c r="A24" s="179">
        <v>46296</v>
      </c>
      <c r="B24" s="177" t="s">
        <v>1524</v>
      </c>
      <c r="C24" s="167" t="s">
        <v>2547</v>
      </c>
      <c r="D24" s="167" t="s">
        <v>2557</v>
      </c>
      <c r="E24" s="177" t="s">
        <v>2562</v>
      </c>
      <c r="F24" s="195" t="s">
        <v>2884</v>
      </c>
      <c r="G24" s="184" t="s">
        <v>2558</v>
      </c>
      <c r="H24" s="177"/>
      <c r="I24" s="177" t="s">
        <v>1517</v>
      </c>
      <c r="J24" s="177" t="s">
        <v>1517</v>
      </c>
      <c r="K24" s="177" t="s">
        <v>1517</v>
      </c>
      <c r="L24" s="121" t="s">
        <v>2613</v>
      </c>
      <c r="M24" s="121" t="s">
        <v>2773</v>
      </c>
      <c r="N24" s="177" t="s">
        <v>1519</v>
      </c>
      <c r="O24" s="177" t="s">
        <v>1517</v>
      </c>
      <c r="P24" s="177"/>
    </row>
    <row r="25" spans="1:16" ht="90">
      <c r="A25" s="179">
        <v>46297</v>
      </c>
      <c r="B25" s="177" t="s">
        <v>1525</v>
      </c>
      <c r="C25" s="167" t="s">
        <v>2547</v>
      </c>
      <c r="D25" s="167" t="s">
        <v>2557</v>
      </c>
      <c r="E25" s="177" t="s">
        <v>2562</v>
      </c>
      <c r="F25" s="195" t="s">
        <v>2884</v>
      </c>
      <c r="G25" s="184" t="s">
        <v>2558</v>
      </c>
      <c r="H25" s="177"/>
      <c r="I25" s="177" t="s">
        <v>1517</v>
      </c>
      <c r="J25" s="177" t="s">
        <v>1517</v>
      </c>
      <c r="K25" s="177" t="s">
        <v>1517</v>
      </c>
      <c r="L25" s="121" t="s">
        <v>2614</v>
      </c>
      <c r="M25" s="121" t="s">
        <v>2774</v>
      </c>
      <c r="N25" s="177"/>
      <c r="O25" s="177" t="s">
        <v>1517</v>
      </c>
      <c r="P25" s="177"/>
    </row>
    <row r="26" spans="1:16" ht="90">
      <c r="A26" s="179">
        <v>46298</v>
      </c>
      <c r="B26" s="177" t="s">
        <v>1526</v>
      </c>
      <c r="C26" s="167" t="s">
        <v>2547</v>
      </c>
      <c r="D26" s="167" t="s">
        <v>2557</v>
      </c>
      <c r="E26" s="177" t="s">
        <v>2562</v>
      </c>
      <c r="F26" s="195" t="s">
        <v>2884</v>
      </c>
      <c r="G26" s="184" t="s">
        <v>2558</v>
      </c>
      <c r="H26" s="177"/>
      <c r="I26" s="177" t="s">
        <v>1517</v>
      </c>
      <c r="J26" s="177" t="s">
        <v>1517</v>
      </c>
      <c r="K26" s="177" t="s">
        <v>1517</v>
      </c>
      <c r="L26" s="121" t="s">
        <v>2735</v>
      </c>
      <c r="M26" s="121" t="s">
        <v>2775</v>
      </c>
      <c r="N26" s="187" t="s">
        <v>216</v>
      </c>
      <c r="O26" s="177" t="s">
        <v>1517</v>
      </c>
      <c r="P26" s="177"/>
    </row>
    <row r="27" spans="1:16" ht="90">
      <c r="A27" s="179">
        <v>46299</v>
      </c>
      <c r="B27" s="177" t="s">
        <v>1520</v>
      </c>
      <c r="C27" s="167" t="s">
        <v>2547</v>
      </c>
      <c r="D27" s="167" t="s">
        <v>2557</v>
      </c>
      <c r="E27" s="177" t="s">
        <v>2562</v>
      </c>
      <c r="F27" s="195" t="s">
        <v>2884</v>
      </c>
      <c r="G27" s="184" t="s">
        <v>2558</v>
      </c>
      <c r="H27" s="177"/>
      <c r="I27" s="177" t="s">
        <v>1517</v>
      </c>
      <c r="J27" s="177" t="s">
        <v>1517</v>
      </c>
      <c r="K27" s="177" t="s">
        <v>1517</v>
      </c>
      <c r="L27" s="121" t="s">
        <v>2736</v>
      </c>
      <c r="M27" s="121" t="s">
        <v>2776</v>
      </c>
      <c r="O27" s="177" t="s">
        <v>1517</v>
      </c>
      <c r="P27" s="177"/>
    </row>
    <row r="28" spans="1:16" ht="90">
      <c r="A28" s="179">
        <v>46300</v>
      </c>
      <c r="B28" s="177" t="s">
        <v>1521</v>
      </c>
      <c r="C28" s="167" t="s">
        <v>2547</v>
      </c>
      <c r="D28" s="167" t="s">
        <v>2557</v>
      </c>
      <c r="E28" s="177" t="s">
        <v>2562</v>
      </c>
      <c r="F28" s="195" t="s">
        <v>2884</v>
      </c>
      <c r="G28" s="184" t="s">
        <v>2558</v>
      </c>
      <c r="H28" s="177"/>
      <c r="I28" s="177" t="s">
        <v>1517</v>
      </c>
      <c r="J28" s="177" t="s">
        <v>1517</v>
      </c>
      <c r="K28" s="177" t="s">
        <v>1517</v>
      </c>
      <c r="L28" s="121" t="s">
        <v>2737</v>
      </c>
      <c r="M28" s="121" t="s">
        <v>2777</v>
      </c>
      <c r="N28" s="187"/>
      <c r="O28" s="177" t="s">
        <v>1517</v>
      </c>
      <c r="P28" s="177"/>
    </row>
    <row r="29" spans="1:16" ht="90">
      <c r="A29" s="179">
        <v>46301</v>
      </c>
      <c r="B29" s="177" t="s">
        <v>1522</v>
      </c>
      <c r="C29" s="167" t="s">
        <v>2547</v>
      </c>
      <c r="D29" s="167" t="s">
        <v>2557</v>
      </c>
      <c r="E29" s="177" t="s">
        <v>2562</v>
      </c>
      <c r="F29" s="195" t="s">
        <v>2884</v>
      </c>
      <c r="G29" s="184" t="s">
        <v>2558</v>
      </c>
      <c r="H29" s="177"/>
      <c r="I29" s="177" t="s">
        <v>1517</v>
      </c>
      <c r="J29" s="177" t="s">
        <v>1517</v>
      </c>
      <c r="K29" s="177" t="s">
        <v>1517</v>
      </c>
      <c r="L29" s="121" t="s">
        <v>2738</v>
      </c>
      <c r="M29" s="121" t="s">
        <v>2778</v>
      </c>
      <c r="N29" s="187"/>
      <c r="O29" s="177" t="s">
        <v>1517</v>
      </c>
      <c r="P29" s="177"/>
    </row>
    <row r="30" spans="1:16" ht="90">
      <c r="A30" s="179">
        <v>46302</v>
      </c>
      <c r="B30" s="177" t="s">
        <v>1523</v>
      </c>
      <c r="C30" s="167" t="s">
        <v>2547</v>
      </c>
      <c r="D30" s="167" t="s">
        <v>2557</v>
      </c>
      <c r="E30" s="177" t="s">
        <v>2562</v>
      </c>
      <c r="F30" s="195" t="s">
        <v>2884</v>
      </c>
      <c r="G30" s="184" t="s">
        <v>2558</v>
      </c>
      <c r="H30" s="177"/>
      <c r="I30" s="177" t="s">
        <v>1517</v>
      </c>
      <c r="J30" s="177" t="s">
        <v>1517</v>
      </c>
      <c r="K30" s="177" t="s">
        <v>1517</v>
      </c>
      <c r="L30" s="121" t="s">
        <v>2739</v>
      </c>
      <c r="M30" s="121" t="s">
        <v>2779</v>
      </c>
      <c r="N30" s="187"/>
      <c r="O30" s="177" t="s">
        <v>1517</v>
      </c>
      <c r="P30" s="177"/>
    </row>
    <row r="31" spans="1:16" ht="90">
      <c r="A31" s="179">
        <v>46303</v>
      </c>
      <c r="B31" s="177" t="s">
        <v>1524</v>
      </c>
      <c r="C31" s="167" t="s">
        <v>2547</v>
      </c>
      <c r="D31" s="167" t="s">
        <v>2557</v>
      </c>
      <c r="E31" s="177" t="s">
        <v>2562</v>
      </c>
      <c r="F31" s="195" t="s">
        <v>2884</v>
      </c>
      <c r="G31" s="184" t="s">
        <v>2558</v>
      </c>
      <c r="H31" s="177"/>
      <c r="I31" s="177" t="s">
        <v>1517</v>
      </c>
      <c r="J31" s="177" t="s">
        <v>1517</v>
      </c>
      <c r="K31" s="177" t="s">
        <v>1517</v>
      </c>
      <c r="L31" s="121" t="s">
        <v>2740</v>
      </c>
      <c r="M31" s="121" t="s">
        <v>2780</v>
      </c>
      <c r="N31" s="187"/>
      <c r="O31" s="177" t="s">
        <v>1517</v>
      </c>
      <c r="P31" s="177"/>
    </row>
    <row r="32" spans="1:16" ht="90">
      <c r="A32" s="179">
        <v>46304</v>
      </c>
      <c r="B32" s="177" t="s">
        <v>1525</v>
      </c>
      <c r="C32" s="167" t="s">
        <v>2547</v>
      </c>
      <c r="D32" s="167" t="s">
        <v>2557</v>
      </c>
      <c r="E32" s="177" t="s">
        <v>2562</v>
      </c>
      <c r="F32" s="195" t="s">
        <v>2884</v>
      </c>
      <c r="G32" s="184" t="s">
        <v>2558</v>
      </c>
      <c r="H32" s="177"/>
      <c r="I32" s="177" t="s">
        <v>1517</v>
      </c>
      <c r="J32" s="177" t="s">
        <v>1517</v>
      </c>
      <c r="K32" s="177" t="s">
        <v>1517</v>
      </c>
      <c r="L32" s="121" t="s">
        <v>2741</v>
      </c>
      <c r="M32" s="121" t="s">
        <v>2781</v>
      </c>
      <c r="N32" s="187"/>
      <c r="O32" s="177" t="s">
        <v>1517</v>
      </c>
      <c r="P32" s="177"/>
    </row>
    <row r="33" spans="1:16" ht="90">
      <c r="A33" s="179">
        <v>46305</v>
      </c>
      <c r="B33" s="177" t="s">
        <v>1526</v>
      </c>
      <c r="C33" s="167" t="s">
        <v>2547</v>
      </c>
      <c r="D33" s="167" t="s">
        <v>2557</v>
      </c>
      <c r="E33" s="177" t="s">
        <v>2562</v>
      </c>
      <c r="F33" s="195" t="s">
        <v>2884</v>
      </c>
      <c r="G33" s="184" t="s">
        <v>2558</v>
      </c>
      <c r="H33" s="177"/>
      <c r="I33" s="177" t="s">
        <v>1517</v>
      </c>
      <c r="J33" s="177" t="s">
        <v>1517</v>
      </c>
      <c r="K33" s="177" t="s">
        <v>1517</v>
      </c>
      <c r="L33" s="121" t="s">
        <v>2742</v>
      </c>
      <c r="M33" s="121" t="s">
        <v>2782</v>
      </c>
      <c r="N33" s="187"/>
      <c r="O33" s="177" t="s">
        <v>1517</v>
      </c>
      <c r="P33" s="177"/>
    </row>
    <row r="34" spans="1:16" ht="90">
      <c r="A34" s="179">
        <v>46306</v>
      </c>
      <c r="B34" s="177" t="s">
        <v>1520</v>
      </c>
      <c r="C34" s="167" t="s">
        <v>2547</v>
      </c>
      <c r="D34" s="167" t="s">
        <v>2557</v>
      </c>
      <c r="E34" s="177" t="s">
        <v>2562</v>
      </c>
      <c r="F34" s="195" t="s">
        <v>2884</v>
      </c>
      <c r="G34" s="184" t="s">
        <v>2558</v>
      </c>
      <c r="H34" s="177"/>
      <c r="I34" s="177" t="s">
        <v>1517</v>
      </c>
      <c r="J34" s="177" t="s">
        <v>1517</v>
      </c>
      <c r="K34" s="177" t="s">
        <v>1517</v>
      </c>
      <c r="L34" s="121" t="s">
        <v>2743</v>
      </c>
      <c r="M34" s="121" t="s">
        <v>2783</v>
      </c>
      <c r="N34" s="187"/>
      <c r="O34" s="177" t="s">
        <v>1517</v>
      </c>
      <c r="P34" s="177"/>
    </row>
    <row r="35" spans="1:16" ht="90">
      <c r="A35" s="179">
        <v>46307</v>
      </c>
      <c r="B35" s="177" t="s">
        <v>1521</v>
      </c>
      <c r="C35" s="167" t="s">
        <v>2547</v>
      </c>
      <c r="D35" s="167" t="s">
        <v>2557</v>
      </c>
      <c r="E35" s="177" t="s">
        <v>2562</v>
      </c>
      <c r="F35" s="195" t="s">
        <v>2884</v>
      </c>
      <c r="G35" s="184" t="s">
        <v>2558</v>
      </c>
      <c r="H35" s="177"/>
      <c r="I35" s="177" t="s">
        <v>1517</v>
      </c>
      <c r="J35" s="177" t="s">
        <v>1517</v>
      </c>
      <c r="K35" s="177" t="s">
        <v>1517</v>
      </c>
      <c r="L35" s="121" t="s">
        <v>2744</v>
      </c>
      <c r="M35" s="121" t="s">
        <v>2784</v>
      </c>
      <c r="N35" s="187"/>
      <c r="O35" s="177" t="s">
        <v>1517</v>
      </c>
      <c r="P35" s="177"/>
    </row>
    <row r="36" spans="1:16" ht="90">
      <c r="A36" s="179">
        <v>46308</v>
      </c>
      <c r="B36" s="177" t="s">
        <v>1522</v>
      </c>
      <c r="C36" s="167" t="s">
        <v>2547</v>
      </c>
      <c r="D36" s="167" t="s">
        <v>2557</v>
      </c>
      <c r="E36" s="177" t="s">
        <v>2562</v>
      </c>
      <c r="F36" s="195" t="s">
        <v>2884</v>
      </c>
      <c r="G36" s="184" t="s">
        <v>2558</v>
      </c>
      <c r="H36" s="177"/>
      <c r="I36" s="177" t="s">
        <v>1517</v>
      </c>
      <c r="J36" s="177" t="s">
        <v>1517</v>
      </c>
      <c r="K36" s="177" t="s">
        <v>1517</v>
      </c>
      <c r="L36" s="121" t="s">
        <v>2745</v>
      </c>
      <c r="M36" s="121" t="s">
        <v>2785</v>
      </c>
      <c r="N36" s="187"/>
      <c r="O36" s="177" t="s">
        <v>1517</v>
      </c>
      <c r="P36" s="177"/>
    </row>
    <row r="37" spans="1:16" ht="90">
      <c r="A37" s="179">
        <v>46309</v>
      </c>
      <c r="B37" s="177" t="s">
        <v>1523</v>
      </c>
      <c r="C37" s="167" t="s">
        <v>2547</v>
      </c>
      <c r="D37" s="167" t="s">
        <v>2557</v>
      </c>
      <c r="E37" s="177" t="s">
        <v>2562</v>
      </c>
      <c r="F37" s="195" t="s">
        <v>2884</v>
      </c>
      <c r="G37" s="184" t="s">
        <v>2558</v>
      </c>
      <c r="H37" s="177"/>
      <c r="I37" s="177" t="s">
        <v>1517</v>
      </c>
      <c r="J37" s="177" t="s">
        <v>1517</v>
      </c>
      <c r="K37" s="177" t="s">
        <v>1517</v>
      </c>
      <c r="L37" s="121" t="s">
        <v>2746</v>
      </c>
      <c r="M37" s="121" t="s">
        <v>2786</v>
      </c>
      <c r="N37" s="187"/>
      <c r="O37" s="177" t="s">
        <v>1517</v>
      </c>
      <c r="P37" s="177"/>
    </row>
    <row r="38" spans="1:16" ht="90">
      <c r="A38" s="179">
        <v>46310</v>
      </c>
      <c r="B38" s="177" t="s">
        <v>1524</v>
      </c>
      <c r="C38" s="167" t="s">
        <v>2547</v>
      </c>
      <c r="D38" s="167" t="s">
        <v>2557</v>
      </c>
      <c r="E38" s="177" t="s">
        <v>2562</v>
      </c>
      <c r="F38" s="195" t="s">
        <v>2884</v>
      </c>
      <c r="G38" s="184" t="s">
        <v>2558</v>
      </c>
      <c r="H38" s="177"/>
      <c r="I38" s="177" t="s">
        <v>1517</v>
      </c>
      <c r="J38" s="177" t="s">
        <v>1517</v>
      </c>
      <c r="K38" s="177" t="s">
        <v>1517</v>
      </c>
      <c r="L38" s="121" t="s">
        <v>2747</v>
      </c>
      <c r="M38" s="121" t="s">
        <v>2787</v>
      </c>
      <c r="N38" s="187"/>
      <c r="O38" s="177" t="s">
        <v>1517</v>
      </c>
      <c r="P38" s="177"/>
    </row>
    <row r="39" spans="1:16" ht="90">
      <c r="A39" s="179">
        <v>46311</v>
      </c>
      <c r="B39" s="177" t="s">
        <v>1525</v>
      </c>
      <c r="C39" s="167" t="s">
        <v>2547</v>
      </c>
      <c r="D39" s="167" t="s">
        <v>2557</v>
      </c>
      <c r="E39" s="177" t="s">
        <v>2562</v>
      </c>
      <c r="F39" s="195" t="s">
        <v>2884</v>
      </c>
      <c r="G39" s="184" t="s">
        <v>2558</v>
      </c>
      <c r="H39" s="177"/>
      <c r="I39" s="177" t="s">
        <v>1517</v>
      </c>
      <c r="J39" s="177" t="s">
        <v>1517</v>
      </c>
      <c r="K39" s="177" t="s">
        <v>1517</v>
      </c>
      <c r="L39" s="121" t="s">
        <v>2748</v>
      </c>
      <c r="M39" s="121" t="s">
        <v>2788</v>
      </c>
      <c r="N39" s="187"/>
      <c r="O39" s="177" t="s">
        <v>1517</v>
      </c>
      <c r="P39" s="177"/>
    </row>
    <row r="40" spans="1:16" ht="90">
      <c r="A40" s="179">
        <v>46312</v>
      </c>
      <c r="B40" s="177" t="s">
        <v>1526</v>
      </c>
      <c r="C40" s="167" t="s">
        <v>2547</v>
      </c>
      <c r="D40" s="167" t="s">
        <v>2557</v>
      </c>
      <c r="E40" s="177" t="s">
        <v>2562</v>
      </c>
      <c r="F40" s="195" t="s">
        <v>2884</v>
      </c>
      <c r="G40" s="184" t="s">
        <v>2558</v>
      </c>
      <c r="H40" s="177"/>
      <c r="I40" s="177" t="s">
        <v>1517</v>
      </c>
      <c r="J40" s="177" t="s">
        <v>1517</v>
      </c>
      <c r="K40" s="177" t="s">
        <v>1517</v>
      </c>
      <c r="L40" s="121" t="s">
        <v>2749</v>
      </c>
      <c r="M40" s="121" t="s">
        <v>2789</v>
      </c>
      <c r="N40" s="187"/>
      <c r="O40" s="177" t="s">
        <v>1517</v>
      </c>
      <c r="P40" s="177"/>
    </row>
    <row r="41" spans="1:16" ht="90">
      <c r="A41" s="180">
        <v>46313</v>
      </c>
      <c r="B41" s="181" t="s">
        <v>1520</v>
      </c>
      <c r="C41" s="167" t="s">
        <v>2547</v>
      </c>
      <c r="D41" s="167" t="s">
        <v>2557</v>
      </c>
      <c r="E41" s="177" t="s">
        <v>2562</v>
      </c>
      <c r="F41" s="195" t="s">
        <v>2884</v>
      </c>
      <c r="G41" s="168" t="s">
        <v>2559</v>
      </c>
      <c r="H41" s="177"/>
      <c r="I41" s="177" t="s">
        <v>1517</v>
      </c>
      <c r="J41" s="177" t="s">
        <v>1517</v>
      </c>
      <c r="K41" s="177" t="s">
        <v>1517</v>
      </c>
      <c r="L41" s="121" t="s">
        <v>2750</v>
      </c>
      <c r="M41" s="121" t="s">
        <v>2790</v>
      </c>
      <c r="N41" s="187"/>
      <c r="O41" s="177" t="s">
        <v>1517</v>
      </c>
      <c r="P41" s="177"/>
    </row>
    <row r="42" spans="1:16" ht="90">
      <c r="A42" s="179">
        <v>46314</v>
      </c>
      <c r="B42" s="177" t="s">
        <v>1521</v>
      </c>
      <c r="C42" s="167" t="s">
        <v>2547</v>
      </c>
      <c r="D42" s="167" t="s">
        <v>2557</v>
      </c>
      <c r="E42" s="177" t="s">
        <v>2575</v>
      </c>
      <c r="F42" s="195" t="s">
        <v>2884</v>
      </c>
      <c r="G42" s="200" t="s">
        <v>2887</v>
      </c>
      <c r="H42" s="177"/>
      <c r="I42" s="184" t="s">
        <v>2588</v>
      </c>
      <c r="J42" s="185" t="s">
        <v>1595</v>
      </c>
      <c r="K42" s="184" t="s">
        <v>2587</v>
      </c>
      <c r="L42" s="121" t="s">
        <v>2751</v>
      </c>
      <c r="M42" s="121" t="s">
        <v>2791</v>
      </c>
      <c r="N42" s="187"/>
      <c r="O42" s="177" t="s">
        <v>2561</v>
      </c>
      <c r="P42" s="177"/>
    </row>
    <row r="43" spans="1:16" ht="90">
      <c r="A43" s="179">
        <v>46315</v>
      </c>
      <c r="B43" s="177" t="s">
        <v>1522</v>
      </c>
      <c r="C43" s="167" t="s">
        <v>2547</v>
      </c>
      <c r="D43" s="167" t="s">
        <v>2557</v>
      </c>
      <c r="E43" s="177" t="s">
        <v>2576</v>
      </c>
      <c r="F43" s="195" t="s">
        <v>2884</v>
      </c>
      <c r="G43" s="199" t="s">
        <v>2888</v>
      </c>
      <c r="H43" s="177"/>
      <c r="I43" s="184" t="s">
        <v>2589</v>
      </c>
      <c r="J43" s="185" t="s">
        <v>1596</v>
      </c>
      <c r="K43" s="184" t="s">
        <v>2587</v>
      </c>
      <c r="L43" s="121" t="s">
        <v>2752</v>
      </c>
      <c r="M43" s="121" t="s">
        <v>2792</v>
      </c>
      <c r="N43" s="187"/>
      <c r="O43" s="177" t="s">
        <v>2561</v>
      </c>
      <c r="P43" s="177"/>
    </row>
    <row r="44" spans="1:16" ht="90">
      <c r="A44" s="179">
        <v>46316</v>
      </c>
      <c r="B44" s="177" t="s">
        <v>1523</v>
      </c>
      <c r="C44" s="167" t="s">
        <v>2547</v>
      </c>
      <c r="D44" s="167" t="s">
        <v>2557</v>
      </c>
      <c r="E44" s="177" t="s">
        <v>2577</v>
      </c>
      <c r="F44" s="195" t="s">
        <v>2884</v>
      </c>
      <c r="G44" s="200" t="s">
        <v>2890</v>
      </c>
      <c r="H44" s="177"/>
      <c r="I44" s="184" t="s">
        <v>2590</v>
      </c>
      <c r="J44" s="185" t="s">
        <v>1597</v>
      </c>
      <c r="K44" s="184" t="s">
        <v>2587</v>
      </c>
      <c r="L44" s="121" t="s">
        <v>2753</v>
      </c>
      <c r="M44" s="121" t="s">
        <v>2793</v>
      </c>
      <c r="N44" s="187"/>
      <c r="O44" s="177" t="s">
        <v>2561</v>
      </c>
      <c r="P44" s="177"/>
    </row>
    <row r="45" spans="1:16" ht="90">
      <c r="A45" s="179">
        <v>46317</v>
      </c>
      <c r="B45" s="177" t="s">
        <v>1524</v>
      </c>
      <c r="C45" s="167" t="s">
        <v>2547</v>
      </c>
      <c r="D45" s="167" t="s">
        <v>2557</v>
      </c>
      <c r="E45" s="177" t="s">
        <v>2578</v>
      </c>
      <c r="F45" s="195" t="s">
        <v>2884</v>
      </c>
      <c r="G45" s="184" t="s">
        <v>2563</v>
      </c>
      <c r="H45" s="177"/>
      <c r="I45" s="184" t="s">
        <v>2591</v>
      </c>
      <c r="J45" s="185" t="s">
        <v>1868</v>
      </c>
      <c r="K45" s="184" t="s">
        <v>2587</v>
      </c>
      <c r="L45" s="121" t="s">
        <v>2754</v>
      </c>
      <c r="M45" s="121" t="s">
        <v>2794</v>
      </c>
      <c r="N45" s="187"/>
      <c r="O45" s="177" t="s">
        <v>2561</v>
      </c>
      <c r="P45" s="177"/>
    </row>
    <row r="46" spans="1:16" ht="90">
      <c r="A46" s="179">
        <v>46318</v>
      </c>
      <c r="B46" s="177" t="s">
        <v>1525</v>
      </c>
      <c r="C46" s="167" t="s">
        <v>2547</v>
      </c>
      <c r="D46" s="167" t="s">
        <v>2557</v>
      </c>
      <c r="E46" s="177" t="s">
        <v>2579</v>
      </c>
      <c r="F46" s="195" t="s">
        <v>2884</v>
      </c>
      <c r="G46" s="184" t="s">
        <v>2891</v>
      </c>
      <c r="H46" s="177"/>
      <c r="I46" s="184" t="s">
        <v>2592</v>
      </c>
      <c r="J46" s="185" t="s">
        <v>1869</v>
      </c>
      <c r="K46" s="184" t="s">
        <v>2587</v>
      </c>
      <c r="L46" s="185" t="s">
        <v>2615</v>
      </c>
      <c r="M46" s="121" t="s">
        <v>2795</v>
      </c>
      <c r="N46" s="177"/>
      <c r="O46" s="177" t="s">
        <v>2561</v>
      </c>
      <c r="P46" s="177"/>
    </row>
    <row r="47" spans="1:16" ht="90">
      <c r="A47" s="179">
        <v>46319</v>
      </c>
      <c r="B47" s="177" t="s">
        <v>1526</v>
      </c>
      <c r="C47" s="167" t="s">
        <v>2547</v>
      </c>
      <c r="D47" s="167" t="s">
        <v>2557</v>
      </c>
      <c r="E47" s="177" t="s">
        <v>2580</v>
      </c>
      <c r="F47" s="195" t="s">
        <v>2884</v>
      </c>
      <c r="G47" s="184" t="s">
        <v>2564</v>
      </c>
      <c r="H47" s="177"/>
      <c r="I47" s="184" t="s">
        <v>2593</v>
      </c>
      <c r="J47" s="185" t="s">
        <v>1870</v>
      </c>
      <c r="K47" s="184" t="s">
        <v>2587</v>
      </c>
      <c r="L47" s="185" t="s">
        <v>2616</v>
      </c>
      <c r="M47" s="121" t="s">
        <v>2796</v>
      </c>
      <c r="N47" s="177"/>
      <c r="O47" s="177" t="s">
        <v>2561</v>
      </c>
      <c r="P47" s="177"/>
    </row>
    <row r="48" spans="1:16" ht="90">
      <c r="A48" s="179">
        <v>46320</v>
      </c>
      <c r="B48" s="177" t="s">
        <v>1520</v>
      </c>
      <c r="C48" s="167" t="s">
        <v>2547</v>
      </c>
      <c r="D48" s="167" t="s">
        <v>2557</v>
      </c>
      <c r="E48" s="177" t="s">
        <v>2580</v>
      </c>
      <c r="F48" s="195" t="s">
        <v>2884</v>
      </c>
      <c r="G48" s="184" t="s">
        <v>2565</v>
      </c>
      <c r="H48" s="177"/>
      <c r="I48" s="184" t="s">
        <v>2594</v>
      </c>
      <c r="J48" s="185" t="s">
        <v>1871</v>
      </c>
      <c r="K48" s="184" t="s">
        <v>2587</v>
      </c>
      <c r="L48" s="185" t="s">
        <v>2617</v>
      </c>
      <c r="M48" s="121" t="s">
        <v>2797</v>
      </c>
      <c r="N48" s="177"/>
      <c r="O48" s="177" t="s">
        <v>2561</v>
      </c>
      <c r="P48" s="177"/>
    </row>
    <row r="49" spans="1:16" ht="90">
      <c r="A49" s="179">
        <v>46321</v>
      </c>
      <c r="B49" s="177" t="s">
        <v>1521</v>
      </c>
      <c r="C49" s="167" t="s">
        <v>2547</v>
      </c>
      <c r="D49" s="167" t="s">
        <v>2557</v>
      </c>
      <c r="E49" s="177" t="s">
        <v>2580</v>
      </c>
      <c r="F49" s="195" t="s">
        <v>2884</v>
      </c>
      <c r="G49" s="184" t="s">
        <v>2566</v>
      </c>
      <c r="H49" s="177"/>
      <c r="I49" s="184" t="s">
        <v>2668</v>
      </c>
      <c r="J49" s="185" t="s">
        <v>1598</v>
      </c>
      <c r="K49" s="184" t="s">
        <v>2587</v>
      </c>
      <c r="L49" s="185" t="s">
        <v>2618</v>
      </c>
      <c r="M49" s="121" t="s">
        <v>2798</v>
      </c>
      <c r="N49" s="177"/>
      <c r="O49" s="177" t="s">
        <v>2561</v>
      </c>
      <c r="P49" s="177"/>
    </row>
    <row r="50" spans="1:16" ht="90">
      <c r="A50" s="179">
        <v>46322</v>
      </c>
      <c r="B50" s="177" t="s">
        <v>1522</v>
      </c>
      <c r="C50" s="167" t="s">
        <v>2547</v>
      </c>
      <c r="D50" s="167" t="s">
        <v>2557</v>
      </c>
      <c r="E50" s="177" t="s">
        <v>2580</v>
      </c>
      <c r="F50" s="195" t="s">
        <v>2884</v>
      </c>
      <c r="G50" s="184" t="s">
        <v>2567</v>
      </c>
      <c r="H50" s="177"/>
      <c r="I50" s="184" t="s">
        <v>2669</v>
      </c>
      <c r="J50" s="185" t="s">
        <v>1599</v>
      </c>
      <c r="K50" s="184" t="s">
        <v>2587</v>
      </c>
      <c r="L50" s="185" t="s">
        <v>2619</v>
      </c>
      <c r="M50" s="121" t="s">
        <v>2799</v>
      </c>
      <c r="N50" s="177"/>
      <c r="O50" s="177" t="s">
        <v>2561</v>
      </c>
      <c r="P50" s="177"/>
    </row>
    <row r="51" spans="1:16" ht="90">
      <c r="A51" s="179">
        <v>46323</v>
      </c>
      <c r="B51" s="177" t="s">
        <v>1523</v>
      </c>
      <c r="C51" s="167" t="s">
        <v>2547</v>
      </c>
      <c r="D51" s="167" t="s">
        <v>2557</v>
      </c>
      <c r="E51" s="177" t="s">
        <v>2580</v>
      </c>
      <c r="F51" s="195" t="s">
        <v>2884</v>
      </c>
      <c r="G51" s="184" t="s">
        <v>2568</v>
      </c>
      <c r="H51" s="177"/>
      <c r="I51" s="184" t="s">
        <v>2670</v>
      </c>
      <c r="J51" s="185" t="s">
        <v>1600</v>
      </c>
      <c r="K51" s="184" t="s">
        <v>2587</v>
      </c>
      <c r="L51" s="185" t="s">
        <v>2620</v>
      </c>
      <c r="M51" s="121" t="s">
        <v>2800</v>
      </c>
      <c r="N51" s="177"/>
      <c r="O51" s="177" t="s">
        <v>2561</v>
      </c>
      <c r="P51" s="177"/>
    </row>
    <row r="52" spans="1:16" ht="90">
      <c r="A52" s="179">
        <v>46324</v>
      </c>
      <c r="B52" s="177" t="s">
        <v>1524</v>
      </c>
      <c r="C52" s="167" t="s">
        <v>2547</v>
      </c>
      <c r="D52" s="167" t="s">
        <v>2557</v>
      </c>
      <c r="E52" s="177" t="s">
        <v>2580</v>
      </c>
      <c r="F52" s="195" t="s">
        <v>2884</v>
      </c>
      <c r="G52" s="184" t="s">
        <v>2569</v>
      </c>
      <c r="H52" s="177"/>
      <c r="I52" s="184" t="s">
        <v>2671</v>
      </c>
      <c r="J52" s="185" t="s">
        <v>1601</v>
      </c>
      <c r="K52" s="184" t="s">
        <v>2587</v>
      </c>
      <c r="L52" s="185" t="s">
        <v>2621</v>
      </c>
      <c r="M52" s="121" t="s">
        <v>2801</v>
      </c>
      <c r="N52" s="177"/>
      <c r="O52" s="177" t="s">
        <v>2561</v>
      </c>
      <c r="P52" s="177"/>
    </row>
    <row r="53" spans="1:16" ht="90">
      <c r="A53" s="179">
        <v>46325</v>
      </c>
      <c r="B53" s="177" t="s">
        <v>1525</v>
      </c>
      <c r="C53" s="167" t="s">
        <v>2547</v>
      </c>
      <c r="D53" s="167" t="s">
        <v>2557</v>
      </c>
      <c r="E53" s="177" t="s">
        <v>2580</v>
      </c>
      <c r="F53" s="195" t="s">
        <v>2884</v>
      </c>
      <c r="G53" s="184" t="s">
        <v>2570</v>
      </c>
      <c r="H53" s="177"/>
      <c r="I53" s="184" t="s">
        <v>2672</v>
      </c>
      <c r="J53" s="185" t="s">
        <v>1602</v>
      </c>
      <c r="K53" s="184" t="s">
        <v>2587</v>
      </c>
      <c r="L53" s="185" t="s">
        <v>2622</v>
      </c>
      <c r="M53" s="121" t="s">
        <v>2802</v>
      </c>
      <c r="N53" s="177"/>
      <c r="O53" s="177" t="s">
        <v>2561</v>
      </c>
      <c r="P53" s="177"/>
    </row>
    <row r="54" spans="1:16" ht="90">
      <c r="A54" s="179">
        <v>46326</v>
      </c>
      <c r="B54" s="177" t="s">
        <v>1526</v>
      </c>
      <c r="C54" s="167" t="s">
        <v>2547</v>
      </c>
      <c r="D54" s="167" t="s">
        <v>2557</v>
      </c>
      <c r="E54" s="177" t="s">
        <v>2580</v>
      </c>
      <c r="F54" s="195" t="s">
        <v>2884</v>
      </c>
      <c r="G54" s="184" t="s">
        <v>2571</v>
      </c>
      <c r="H54" s="177"/>
      <c r="I54" s="184" t="s">
        <v>2673</v>
      </c>
      <c r="J54" s="185" t="s">
        <v>1603</v>
      </c>
      <c r="K54" s="184" t="s">
        <v>2587</v>
      </c>
      <c r="L54" s="185" t="s">
        <v>2623</v>
      </c>
      <c r="M54" s="121" t="s">
        <v>2803</v>
      </c>
      <c r="N54" s="177"/>
      <c r="O54" s="177" t="s">
        <v>2561</v>
      </c>
      <c r="P54" s="177"/>
    </row>
    <row r="55" spans="1:16" ht="90">
      <c r="A55" s="179">
        <v>46327</v>
      </c>
      <c r="B55" s="177" t="s">
        <v>1520</v>
      </c>
      <c r="C55" s="167" t="s">
        <v>2547</v>
      </c>
      <c r="D55" s="167" t="s">
        <v>2557</v>
      </c>
      <c r="E55" s="177" t="s">
        <v>2580</v>
      </c>
      <c r="F55" s="195" t="s">
        <v>2884</v>
      </c>
      <c r="G55" s="184" t="s">
        <v>2572</v>
      </c>
      <c r="H55" s="177"/>
      <c r="I55" s="184" t="s">
        <v>2674</v>
      </c>
      <c r="J55" s="185" t="s">
        <v>1872</v>
      </c>
      <c r="K55" s="184" t="s">
        <v>2587</v>
      </c>
      <c r="L55" s="185" t="s">
        <v>2624</v>
      </c>
      <c r="M55" s="121" t="s">
        <v>2804</v>
      </c>
      <c r="N55" s="177"/>
      <c r="O55" s="177" t="s">
        <v>2561</v>
      </c>
      <c r="P55" s="177"/>
    </row>
    <row r="56" spans="1:16" ht="90">
      <c r="A56" s="179">
        <v>46328</v>
      </c>
      <c r="B56" s="177" t="s">
        <v>1521</v>
      </c>
      <c r="C56" s="167" t="s">
        <v>2547</v>
      </c>
      <c r="D56" s="167" t="s">
        <v>2557</v>
      </c>
      <c r="E56" s="177" t="s">
        <v>2580</v>
      </c>
      <c r="F56" s="195" t="s">
        <v>2884</v>
      </c>
      <c r="G56" s="184" t="s">
        <v>2573</v>
      </c>
      <c r="H56" s="177"/>
      <c r="I56" s="184" t="s">
        <v>2675</v>
      </c>
      <c r="J56" s="185" t="s">
        <v>1604</v>
      </c>
      <c r="K56" s="184" t="s">
        <v>2587</v>
      </c>
      <c r="L56" s="185" t="s">
        <v>2649</v>
      </c>
      <c r="M56" s="121" t="s">
        <v>2805</v>
      </c>
      <c r="N56" s="177"/>
      <c r="O56" s="177" t="s">
        <v>2561</v>
      </c>
      <c r="P56" s="177"/>
    </row>
    <row r="57" spans="1:16" ht="90">
      <c r="A57" s="179">
        <v>46329</v>
      </c>
      <c r="B57" s="177" t="s">
        <v>1522</v>
      </c>
      <c r="C57" s="167" t="s">
        <v>2547</v>
      </c>
      <c r="D57" s="167" t="s">
        <v>2557</v>
      </c>
      <c r="E57" s="177" t="s">
        <v>2580</v>
      </c>
      <c r="F57" s="195" t="s">
        <v>2884</v>
      </c>
      <c r="G57" s="184" t="s">
        <v>2574</v>
      </c>
      <c r="H57" s="177"/>
      <c r="I57" s="184" t="s">
        <v>2676</v>
      </c>
      <c r="J57" s="185" t="s">
        <v>1605</v>
      </c>
      <c r="K57" s="184" t="s">
        <v>2587</v>
      </c>
      <c r="L57" s="185" t="s">
        <v>2650</v>
      </c>
      <c r="M57" s="121" t="s">
        <v>2806</v>
      </c>
      <c r="O57" s="177" t="s">
        <v>2561</v>
      </c>
      <c r="P57" s="177"/>
    </row>
    <row r="58" spans="1:16" ht="90">
      <c r="A58" s="179">
        <v>46330</v>
      </c>
      <c r="B58" s="177" t="s">
        <v>1523</v>
      </c>
      <c r="C58" s="167" t="s">
        <v>2547</v>
      </c>
      <c r="D58" s="167" t="s">
        <v>2557</v>
      </c>
      <c r="E58" s="177" t="s">
        <v>2580</v>
      </c>
      <c r="F58" s="195" t="s">
        <v>2884</v>
      </c>
      <c r="G58" s="184" t="s">
        <v>2642</v>
      </c>
      <c r="H58" s="177"/>
      <c r="I58" s="184" t="s">
        <v>2677</v>
      </c>
      <c r="J58" s="185" t="s">
        <v>1606</v>
      </c>
      <c r="K58" s="184" t="s">
        <v>2587</v>
      </c>
      <c r="L58" s="185" t="s">
        <v>2651</v>
      </c>
      <c r="M58" s="121" t="s">
        <v>2807</v>
      </c>
      <c r="N58" s="177"/>
      <c r="O58" s="177" t="s">
        <v>2561</v>
      </c>
      <c r="P58" s="177"/>
    </row>
    <row r="59" spans="1:16" ht="90">
      <c r="A59" s="179">
        <v>46331</v>
      </c>
      <c r="B59" s="177" t="s">
        <v>1524</v>
      </c>
      <c r="C59" s="167" t="s">
        <v>2547</v>
      </c>
      <c r="D59" s="167" t="s">
        <v>2557</v>
      </c>
      <c r="E59" s="177" t="s">
        <v>2580</v>
      </c>
      <c r="F59" s="195" t="s">
        <v>2884</v>
      </c>
      <c r="G59" s="184" t="s">
        <v>2643</v>
      </c>
      <c r="H59" s="177"/>
      <c r="I59" s="184" t="s">
        <v>2678</v>
      </c>
      <c r="J59" s="185" t="s">
        <v>1607</v>
      </c>
      <c r="K59" s="184" t="s">
        <v>2587</v>
      </c>
      <c r="L59" s="185" t="s">
        <v>2652</v>
      </c>
      <c r="M59" s="121" t="s">
        <v>2808</v>
      </c>
      <c r="N59" s="177"/>
      <c r="O59" s="177" t="s">
        <v>2561</v>
      </c>
      <c r="P59" s="177"/>
    </row>
    <row r="60" spans="1:16" ht="90">
      <c r="A60" s="179">
        <v>46332</v>
      </c>
      <c r="B60" s="177" t="s">
        <v>1525</v>
      </c>
      <c r="C60" s="167" t="s">
        <v>2547</v>
      </c>
      <c r="D60" s="167" t="s">
        <v>2557</v>
      </c>
      <c r="E60" s="177" t="s">
        <v>2580</v>
      </c>
      <c r="F60" s="195" t="s">
        <v>2884</v>
      </c>
      <c r="G60" s="184" t="s">
        <v>2644</v>
      </c>
      <c r="H60" s="177"/>
      <c r="I60" s="184" t="s">
        <v>2679</v>
      </c>
      <c r="J60" s="185" t="s">
        <v>1608</v>
      </c>
      <c r="K60" s="184" t="s">
        <v>2587</v>
      </c>
      <c r="L60" s="185" t="s">
        <v>2653</v>
      </c>
      <c r="M60" s="121" t="s">
        <v>2809</v>
      </c>
      <c r="N60" s="177"/>
      <c r="O60" s="177" t="s">
        <v>2561</v>
      </c>
      <c r="P60" s="177"/>
    </row>
    <row r="61" spans="1:16" ht="90">
      <c r="A61" s="179">
        <v>46333</v>
      </c>
      <c r="B61" s="177" t="s">
        <v>1526</v>
      </c>
      <c r="C61" s="167" t="s">
        <v>2547</v>
      </c>
      <c r="D61" s="167" t="s">
        <v>2557</v>
      </c>
      <c r="E61" s="177" t="s">
        <v>2580</v>
      </c>
      <c r="F61" s="195" t="s">
        <v>2884</v>
      </c>
      <c r="G61" s="184" t="s">
        <v>2645</v>
      </c>
      <c r="H61" s="177"/>
      <c r="I61" s="184" t="s">
        <v>2680</v>
      </c>
      <c r="J61" s="185" t="s">
        <v>1873</v>
      </c>
      <c r="K61" s="184" t="s">
        <v>2587</v>
      </c>
      <c r="L61" s="185" t="s">
        <v>2654</v>
      </c>
      <c r="M61" s="121" t="s">
        <v>2810</v>
      </c>
      <c r="N61" s="177"/>
      <c r="O61" s="177" t="s">
        <v>2561</v>
      </c>
      <c r="P61" s="177"/>
    </row>
    <row r="62" spans="1:16" ht="90">
      <c r="A62" s="179">
        <v>46334</v>
      </c>
      <c r="B62" s="177" t="s">
        <v>1520</v>
      </c>
      <c r="C62" s="167" t="s">
        <v>2547</v>
      </c>
      <c r="D62" s="167" t="s">
        <v>2557</v>
      </c>
      <c r="E62" s="177" t="s">
        <v>2580</v>
      </c>
      <c r="F62" s="195" t="s">
        <v>2884</v>
      </c>
      <c r="G62" s="184" t="s">
        <v>2646</v>
      </c>
      <c r="H62" s="177"/>
      <c r="I62" s="184" t="s">
        <v>2681</v>
      </c>
      <c r="J62" s="185" t="s">
        <v>1874</v>
      </c>
      <c r="K62" s="184" t="s">
        <v>2587</v>
      </c>
      <c r="L62" s="185" t="s">
        <v>2655</v>
      </c>
      <c r="M62" s="121" t="s">
        <v>2811</v>
      </c>
      <c r="N62" s="177"/>
      <c r="O62" s="177" t="s">
        <v>2561</v>
      </c>
      <c r="P62" s="177"/>
    </row>
    <row r="63" spans="1:16" ht="90">
      <c r="A63" s="179">
        <v>46335</v>
      </c>
      <c r="B63" s="177" t="s">
        <v>1521</v>
      </c>
      <c r="C63" s="167" t="s">
        <v>2547</v>
      </c>
      <c r="D63" s="167" t="s">
        <v>2557</v>
      </c>
      <c r="E63" s="177" t="s">
        <v>2580</v>
      </c>
      <c r="F63" s="195" t="s">
        <v>2884</v>
      </c>
      <c r="G63" s="184" t="s">
        <v>2647</v>
      </c>
      <c r="H63" s="177"/>
      <c r="I63" s="184" t="s">
        <v>2682</v>
      </c>
      <c r="J63" s="185" t="s">
        <v>1875</v>
      </c>
      <c r="K63" s="184" t="s">
        <v>2587</v>
      </c>
      <c r="L63" s="185" t="s">
        <v>2656</v>
      </c>
      <c r="M63" s="121" t="s">
        <v>2812</v>
      </c>
      <c r="N63" s="177"/>
      <c r="O63" s="177" t="s">
        <v>2561</v>
      </c>
      <c r="P63" s="177"/>
    </row>
    <row r="64" spans="1:16" ht="90">
      <c r="A64" s="179">
        <v>46336</v>
      </c>
      <c r="B64" s="177" t="s">
        <v>1522</v>
      </c>
      <c r="C64" s="167" t="s">
        <v>2547</v>
      </c>
      <c r="D64" s="167" t="s">
        <v>2557</v>
      </c>
      <c r="E64" s="177" t="s">
        <v>2580</v>
      </c>
      <c r="F64" s="195" t="s">
        <v>2884</v>
      </c>
      <c r="G64" s="184" t="s">
        <v>2648</v>
      </c>
      <c r="H64" s="177"/>
      <c r="I64" s="184" t="s">
        <v>2683</v>
      </c>
      <c r="J64" s="185" t="s">
        <v>1876</v>
      </c>
      <c r="K64" s="184" t="s">
        <v>2587</v>
      </c>
      <c r="L64" s="185" t="s">
        <v>2657</v>
      </c>
      <c r="M64" s="121" t="s">
        <v>2813</v>
      </c>
      <c r="N64" s="177"/>
      <c r="O64" s="177" t="s">
        <v>2561</v>
      </c>
      <c r="P64" s="177"/>
    </row>
    <row r="65" spans="1:16" ht="90">
      <c r="A65" s="179">
        <v>46337</v>
      </c>
      <c r="B65" s="177" t="s">
        <v>1523</v>
      </c>
      <c r="C65" s="167" t="s">
        <v>2547</v>
      </c>
      <c r="D65" s="167" t="s">
        <v>2557</v>
      </c>
      <c r="E65" s="177" t="s">
        <v>2580</v>
      </c>
      <c r="F65" s="195" t="s">
        <v>2884</v>
      </c>
      <c r="G65" s="184" t="s">
        <v>2892</v>
      </c>
      <c r="H65" s="177"/>
      <c r="I65" s="184" t="s">
        <v>2684</v>
      </c>
      <c r="J65" s="185" t="s">
        <v>1877</v>
      </c>
      <c r="K65" s="184" t="s">
        <v>2587</v>
      </c>
      <c r="L65" s="185" t="s">
        <v>2658</v>
      </c>
      <c r="M65" s="121" t="s">
        <v>2814</v>
      </c>
      <c r="N65" s="177"/>
      <c r="O65" s="177" t="s">
        <v>2561</v>
      </c>
      <c r="P65" s="177"/>
    </row>
    <row r="66" spans="1:16" ht="90">
      <c r="A66" s="179">
        <v>46338</v>
      </c>
      <c r="B66" s="177" t="s">
        <v>1524</v>
      </c>
      <c r="C66" s="167" t="s">
        <v>2547</v>
      </c>
      <c r="D66" s="167" t="s">
        <v>2557</v>
      </c>
      <c r="E66" s="177" t="s">
        <v>2580</v>
      </c>
      <c r="F66" s="195" t="s">
        <v>2884</v>
      </c>
      <c r="G66" s="184"/>
      <c r="H66" s="177"/>
      <c r="I66" s="184" t="s">
        <v>2685</v>
      </c>
      <c r="J66" s="185" t="s">
        <v>1621</v>
      </c>
      <c r="K66" s="184" t="s">
        <v>2587</v>
      </c>
      <c r="L66" s="185" t="s">
        <v>2625</v>
      </c>
      <c r="M66" s="121" t="s">
        <v>2815</v>
      </c>
      <c r="N66" s="177"/>
      <c r="O66" s="177" t="s">
        <v>2561</v>
      </c>
      <c r="P66" s="177"/>
    </row>
    <row r="67" spans="1:16" ht="90">
      <c r="A67" s="179">
        <v>46339</v>
      </c>
      <c r="B67" s="177" t="s">
        <v>1525</v>
      </c>
      <c r="C67" s="167" t="s">
        <v>2547</v>
      </c>
      <c r="D67" s="167" t="s">
        <v>2557</v>
      </c>
      <c r="E67" s="177" t="s">
        <v>2580</v>
      </c>
      <c r="F67" s="195" t="s">
        <v>2884</v>
      </c>
      <c r="G67" s="184"/>
      <c r="H67" s="177"/>
      <c r="I67" s="184" t="s">
        <v>2686</v>
      </c>
      <c r="J67" s="185" t="s">
        <v>1622</v>
      </c>
      <c r="K67" s="184" t="s">
        <v>2587</v>
      </c>
      <c r="L67" s="185" t="s">
        <v>2626</v>
      </c>
      <c r="M67" s="121" t="s">
        <v>2816</v>
      </c>
      <c r="O67" s="177" t="s">
        <v>2561</v>
      </c>
      <c r="P67" s="177"/>
    </row>
    <row r="68" spans="1:16" ht="102" customHeight="1">
      <c r="A68" s="179">
        <v>46340</v>
      </c>
      <c r="B68" s="177" t="s">
        <v>1526</v>
      </c>
      <c r="C68" s="167" t="s">
        <v>2547</v>
      </c>
      <c r="D68" s="167" t="s">
        <v>2557</v>
      </c>
      <c r="E68" s="177" t="s">
        <v>2580</v>
      </c>
      <c r="F68" s="195" t="s">
        <v>2884</v>
      </c>
      <c r="G68" s="196" t="s">
        <v>2666</v>
      </c>
      <c r="H68" s="177"/>
      <c r="I68" s="184" t="s">
        <v>2687</v>
      </c>
      <c r="J68" s="185" t="s">
        <v>1623</v>
      </c>
      <c r="K68" s="184" t="s">
        <v>2587</v>
      </c>
      <c r="L68" s="185" t="s">
        <v>2627</v>
      </c>
      <c r="M68" s="121" t="s">
        <v>2817</v>
      </c>
      <c r="N68" s="177"/>
      <c r="O68" s="177" t="s">
        <v>2561</v>
      </c>
      <c r="P68" s="177"/>
    </row>
    <row r="69" spans="1:16" ht="119.25" customHeight="1">
      <c r="A69" s="179">
        <v>46341</v>
      </c>
      <c r="B69" s="177" t="s">
        <v>1520</v>
      </c>
      <c r="C69" s="167" t="s">
        <v>2547</v>
      </c>
      <c r="D69" s="167" t="s">
        <v>2557</v>
      </c>
      <c r="E69" s="177" t="s">
        <v>2580</v>
      </c>
      <c r="F69" s="195" t="s">
        <v>2884</v>
      </c>
      <c r="G69" s="196" t="s">
        <v>2667</v>
      </c>
      <c r="H69" s="177"/>
      <c r="I69" s="184" t="s">
        <v>2688</v>
      </c>
      <c r="J69" s="184" t="s">
        <v>1609</v>
      </c>
      <c r="K69" s="184" t="s">
        <v>2587</v>
      </c>
      <c r="L69" s="185" t="s">
        <v>2628</v>
      </c>
      <c r="M69" s="121" t="s">
        <v>2818</v>
      </c>
      <c r="N69" s="177"/>
      <c r="O69" s="177" t="s">
        <v>2561</v>
      </c>
      <c r="P69" s="177"/>
    </row>
    <row r="70" spans="1:16" ht="90">
      <c r="A70" s="179">
        <v>46342</v>
      </c>
      <c r="B70" s="177" t="s">
        <v>1521</v>
      </c>
      <c r="C70" s="167" t="s">
        <v>2547</v>
      </c>
      <c r="D70" s="167" t="s">
        <v>2557</v>
      </c>
      <c r="E70" s="177" t="s">
        <v>2581</v>
      </c>
      <c r="F70" s="195" t="s">
        <v>2884</v>
      </c>
      <c r="G70" s="198" t="s">
        <v>2887</v>
      </c>
      <c r="H70" s="185" t="s">
        <v>2831</v>
      </c>
      <c r="I70" s="184" t="s">
        <v>2689</v>
      </c>
      <c r="J70" s="184" t="s">
        <v>1610</v>
      </c>
      <c r="K70" s="184" t="s">
        <v>2587</v>
      </c>
      <c r="L70" s="185" t="s">
        <v>2629</v>
      </c>
      <c r="M70" s="121" t="s">
        <v>2819</v>
      </c>
      <c r="N70" s="177"/>
      <c r="O70" s="177" t="s">
        <v>2561</v>
      </c>
      <c r="P70" s="177"/>
    </row>
    <row r="71" spans="1:16" ht="90">
      <c r="A71" s="179">
        <v>46343</v>
      </c>
      <c r="B71" s="177" t="s">
        <v>1522</v>
      </c>
      <c r="C71" s="167" t="s">
        <v>2547</v>
      </c>
      <c r="D71" s="167" t="s">
        <v>2557</v>
      </c>
      <c r="E71" s="177" t="s">
        <v>2582</v>
      </c>
      <c r="F71" s="195" t="s">
        <v>2884</v>
      </c>
      <c r="G71" s="198" t="s">
        <v>2893</v>
      </c>
      <c r="H71" s="185" t="s">
        <v>2832</v>
      </c>
      <c r="I71" s="184" t="s">
        <v>2690</v>
      </c>
      <c r="J71" s="184" t="s">
        <v>1611</v>
      </c>
      <c r="K71" s="184" t="s">
        <v>2587</v>
      </c>
      <c r="L71" s="185" t="s">
        <v>2630</v>
      </c>
      <c r="M71" s="121" t="s">
        <v>2820</v>
      </c>
      <c r="N71" s="177"/>
      <c r="O71" s="177" t="s">
        <v>2561</v>
      </c>
      <c r="P71" s="177"/>
    </row>
    <row r="72" spans="1:16" ht="90">
      <c r="A72" s="179">
        <v>46344</v>
      </c>
      <c r="B72" s="177" t="s">
        <v>1523</v>
      </c>
      <c r="C72" s="167" t="s">
        <v>2547</v>
      </c>
      <c r="D72" s="167" t="s">
        <v>2557</v>
      </c>
      <c r="E72" s="177" t="s">
        <v>2583</v>
      </c>
      <c r="F72" s="195" t="s">
        <v>2884</v>
      </c>
      <c r="G72" s="198" t="s">
        <v>2889</v>
      </c>
      <c r="H72" s="185" t="s">
        <v>2833</v>
      </c>
      <c r="I72" s="184" t="s">
        <v>2691</v>
      </c>
      <c r="J72" s="184" t="s">
        <v>1612</v>
      </c>
      <c r="K72" s="184" t="s">
        <v>2587</v>
      </c>
      <c r="L72" s="185" t="s">
        <v>2631</v>
      </c>
      <c r="M72" s="121" t="s">
        <v>2821</v>
      </c>
      <c r="N72" s="177"/>
      <c r="O72" s="177" t="s">
        <v>2561</v>
      </c>
      <c r="P72" s="177"/>
    </row>
    <row r="73" spans="1:16" ht="90">
      <c r="A73" s="179">
        <v>46345</v>
      </c>
      <c r="B73" s="177" t="s">
        <v>1524</v>
      </c>
      <c r="C73" s="167" t="s">
        <v>2547</v>
      </c>
      <c r="D73" s="167" t="s">
        <v>2557</v>
      </c>
      <c r="E73" s="177" t="s">
        <v>2584</v>
      </c>
      <c r="F73" s="195" t="s">
        <v>2884</v>
      </c>
      <c r="G73" s="177" t="s">
        <v>1832</v>
      </c>
      <c r="H73" s="185" t="s">
        <v>2834</v>
      </c>
      <c r="I73" s="184" t="s">
        <v>2692</v>
      </c>
      <c r="J73" s="184" t="s">
        <v>1613</v>
      </c>
      <c r="K73" s="184" t="s">
        <v>2587</v>
      </c>
      <c r="L73" s="185" t="s">
        <v>2632</v>
      </c>
      <c r="M73" s="121" t="s">
        <v>2822</v>
      </c>
      <c r="N73" s="177"/>
      <c r="O73" s="177" t="s">
        <v>2561</v>
      </c>
      <c r="P73" s="177"/>
    </row>
    <row r="74" spans="1:16" ht="90">
      <c r="A74" s="179">
        <v>46346</v>
      </c>
      <c r="B74" s="177" t="s">
        <v>1525</v>
      </c>
      <c r="C74" s="167" t="s">
        <v>2547</v>
      </c>
      <c r="D74" s="167" t="s">
        <v>2557</v>
      </c>
      <c r="E74" s="177" t="s">
        <v>2585</v>
      </c>
      <c r="F74" s="195" t="s">
        <v>2884</v>
      </c>
      <c r="G74" s="177"/>
      <c r="H74" s="185" t="s">
        <v>2835</v>
      </c>
      <c r="I74" s="184" t="s">
        <v>2693</v>
      </c>
      <c r="J74" s="184" t="s">
        <v>1614</v>
      </c>
      <c r="K74" s="184" t="s">
        <v>2587</v>
      </c>
      <c r="L74" s="185" t="s">
        <v>2633</v>
      </c>
      <c r="M74" s="121" t="s">
        <v>2823</v>
      </c>
      <c r="N74" s="177"/>
      <c r="O74" s="177" t="s">
        <v>2561</v>
      </c>
      <c r="P74" s="177"/>
    </row>
    <row r="75" spans="1:16" ht="90">
      <c r="A75" s="179">
        <v>46347</v>
      </c>
      <c r="B75" s="177" t="s">
        <v>1526</v>
      </c>
      <c r="C75" s="167" t="s">
        <v>2547</v>
      </c>
      <c r="D75" s="167" t="s">
        <v>2557</v>
      </c>
      <c r="E75" s="177" t="s">
        <v>2586</v>
      </c>
      <c r="F75" s="195" t="s">
        <v>2884</v>
      </c>
      <c r="G75" s="177"/>
      <c r="H75" s="185" t="s">
        <v>2836</v>
      </c>
      <c r="I75" s="184" t="s">
        <v>2694</v>
      </c>
      <c r="J75" s="184" t="s">
        <v>1615</v>
      </c>
      <c r="K75" s="184" t="s">
        <v>2587</v>
      </c>
      <c r="L75" s="185" t="s">
        <v>2634</v>
      </c>
      <c r="M75" s="121" t="s">
        <v>2824</v>
      </c>
      <c r="N75" s="177"/>
      <c r="O75" s="177" t="s">
        <v>2561</v>
      </c>
      <c r="P75" s="177"/>
    </row>
    <row r="76" spans="1:16" ht="90">
      <c r="A76" s="179">
        <v>46348</v>
      </c>
      <c r="B76" s="177" t="s">
        <v>1520</v>
      </c>
      <c r="C76" s="167" t="s">
        <v>2547</v>
      </c>
      <c r="D76" s="167" t="s">
        <v>2557</v>
      </c>
      <c r="E76" s="177" t="s">
        <v>2586</v>
      </c>
      <c r="F76" s="195" t="s">
        <v>2884</v>
      </c>
      <c r="G76" s="177"/>
      <c r="H76" s="185" t="s">
        <v>2837</v>
      </c>
      <c r="I76" s="184" t="s">
        <v>2695</v>
      </c>
      <c r="J76" s="184" t="s">
        <v>1616</v>
      </c>
      <c r="K76" s="184" t="s">
        <v>2587</v>
      </c>
      <c r="L76" s="185" t="s">
        <v>2659</v>
      </c>
      <c r="M76" s="121" t="s">
        <v>2825</v>
      </c>
      <c r="N76" s="177"/>
      <c r="O76" s="177" t="s">
        <v>2561</v>
      </c>
      <c r="P76" s="177"/>
    </row>
    <row r="77" spans="1:16" ht="90">
      <c r="A77" s="179">
        <v>46349</v>
      </c>
      <c r="B77" s="177" t="s">
        <v>1521</v>
      </c>
      <c r="C77" s="167" t="s">
        <v>2547</v>
      </c>
      <c r="D77" s="167" t="s">
        <v>2557</v>
      </c>
      <c r="E77" s="177" t="s">
        <v>2586</v>
      </c>
      <c r="F77" s="195" t="s">
        <v>2884</v>
      </c>
      <c r="G77" s="177"/>
      <c r="H77" s="185" t="s">
        <v>2838</v>
      </c>
      <c r="I77" s="184" t="s">
        <v>2696</v>
      </c>
      <c r="J77" s="184" t="s">
        <v>1617</v>
      </c>
      <c r="K77" s="184" t="s">
        <v>2587</v>
      </c>
      <c r="L77" s="185" t="s">
        <v>2660</v>
      </c>
      <c r="M77" s="121" t="s">
        <v>2826</v>
      </c>
      <c r="N77" s="167"/>
      <c r="O77" s="177" t="s">
        <v>2561</v>
      </c>
      <c r="P77" s="177"/>
    </row>
    <row r="78" spans="1:16" ht="90">
      <c r="A78" s="179">
        <v>46350</v>
      </c>
      <c r="B78" s="177" t="s">
        <v>1522</v>
      </c>
      <c r="C78" s="167" t="s">
        <v>2547</v>
      </c>
      <c r="D78" s="167" t="s">
        <v>2557</v>
      </c>
      <c r="E78" s="177" t="s">
        <v>2586</v>
      </c>
      <c r="F78" s="195" t="s">
        <v>2884</v>
      </c>
      <c r="G78" s="177"/>
      <c r="H78" s="185" t="s">
        <v>2839</v>
      </c>
      <c r="I78" s="184" t="s">
        <v>2697</v>
      </c>
      <c r="J78" s="184" t="s">
        <v>1618</v>
      </c>
      <c r="K78" s="184" t="s">
        <v>2587</v>
      </c>
      <c r="L78" s="185" t="s">
        <v>2661</v>
      </c>
      <c r="M78" s="121" t="s">
        <v>2827</v>
      </c>
      <c r="N78" s="177"/>
      <c r="O78" s="177" t="s">
        <v>2561</v>
      </c>
      <c r="P78" s="177"/>
    </row>
    <row r="79" spans="1:16" ht="90">
      <c r="A79" s="179">
        <v>46351</v>
      </c>
      <c r="B79" s="177" t="s">
        <v>1523</v>
      </c>
      <c r="C79" s="167" t="s">
        <v>2547</v>
      </c>
      <c r="D79" s="167" t="s">
        <v>2557</v>
      </c>
      <c r="E79" s="177" t="s">
        <v>2586</v>
      </c>
      <c r="F79" s="195" t="s">
        <v>2884</v>
      </c>
      <c r="G79" s="177"/>
      <c r="H79" s="185" t="s">
        <v>2840</v>
      </c>
      <c r="I79" s="184" t="s">
        <v>2698</v>
      </c>
      <c r="J79" s="184" t="s">
        <v>1619</v>
      </c>
      <c r="K79" s="184" t="s">
        <v>2587</v>
      </c>
      <c r="L79" s="185" t="s">
        <v>2662</v>
      </c>
      <c r="M79" s="121" t="s">
        <v>2828</v>
      </c>
      <c r="N79" s="177"/>
      <c r="O79" s="177" t="s">
        <v>2561</v>
      </c>
      <c r="P79" s="177"/>
    </row>
    <row r="80" spans="1:16" ht="90">
      <c r="A80" s="179">
        <v>46352</v>
      </c>
      <c r="B80" s="177" t="s">
        <v>1524</v>
      </c>
      <c r="C80" s="167" t="s">
        <v>2547</v>
      </c>
      <c r="D80" s="167" t="s">
        <v>2557</v>
      </c>
      <c r="E80" s="177" t="s">
        <v>2586</v>
      </c>
      <c r="F80" s="195" t="s">
        <v>2884</v>
      </c>
      <c r="G80" s="177"/>
      <c r="H80" s="185" t="s">
        <v>2841</v>
      </c>
      <c r="I80" s="184" t="s">
        <v>2699</v>
      </c>
      <c r="J80" s="184" t="s">
        <v>1620</v>
      </c>
      <c r="K80" s="184" t="s">
        <v>2587</v>
      </c>
      <c r="L80" s="185" t="s">
        <v>2663</v>
      </c>
      <c r="M80" s="121" t="s">
        <v>2829</v>
      </c>
      <c r="N80" s="177"/>
      <c r="O80" s="177" t="s">
        <v>2561</v>
      </c>
      <c r="P80" s="177"/>
    </row>
    <row r="81" spans="1:16" ht="90">
      <c r="A81" s="179">
        <v>46353</v>
      </c>
      <c r="B81" s="177" t="s">
        <v>1525</v>
      </c>
      <c r="C81" s="167" t="s">
        <v>2547</v>
      </c>
      <c r="D81" s="167" t="s">
        <v>2557</v>
      </c>
      <c r="E81" s="177" t="s">
        <v>2586</v>
      </c>
      <c r="F81" s="195" t="s">
        <v>2884</v>
      </c>
      <c r="G81" s="177"/>
      <c r="H81" s="185" t="s">
        <v>2842</v>
      </c>
      <c r="I81" s="184" t="s">
        <v>2700</v>
      </c>
      <c r="J81" s="185" t="s">
        <v>1624</v>
      </c>
      <c r="K81" s="184" t="s">
        <v>2587</v>
      </c>
      <c r="L81" s="185" t="s">
        <v>2664</v>
      </c>
      <c r="M81" s="121" t="s">
        <v>2830</v>
      </c>
      <c r="N81" s="177"/>
      <c r="O81" s="177" t="s">
        <v>2561</v>
      </c>
      <c r="P81" s="177"/>
    </row>
    <row r="82" spans="1:16" ht="90">
      <c r="A82" s="180">
        <v>46354</v>
      </c>
      <c r="B82" s="181" t="s">
        <v>1526</v>
      </c>
      <c r="C82" s="167" t="s">
        <v>2547</v>
      </c>
      <c r="D82" s="167" t="s">
        <v>2557</v>
      </c>
      <c r="E82" s="177" t="s">
        <v>2586</v>
      </c>
      <c r="F82" s="195" t="s">
        <v>2884</v>
      </c>
      <c r="G82" s="177"/>
      <c r="H82" s="185" t="s">
        <v>2843</v>
      </c>
      <c r="I82" s="184" t="s">
        <v>2701</v>
      </c>
      <c r="J82" s="185" t="s">
        <v>1625</v>
      </c>
      <c r="K82" s="184" t="s">
        <v>2587</v>
      </c>
      <c r="L82" s="254" t="s">
        <v>2</v>
      </c>
      <c r="M82" s="255"/>
      <c r="N82" s="177"/>
      <c r="O82" s="177" t="s">
        <v>2561</v>
      </c>
      <c r="P82" s="177"/>
    </row>
    <row r="83" spans="1:16" ht="90">
      <c r="A83" s="179">
        <v>46355</v>
      </c>
      <c r="B83" s="177" t="s">
        <v>1520</v>
      </c>
      <c r="C83" s="167" t="s">
        <v>2547</v>
      </c>
      <c r="D83" s="167" t="s">
        <v>2557</v>
      </c>
      <c r="E83" s="177" t="s">
        <v>2586</v>
      </c>
      <c r="F83" s="195" t="s">
        <v>2884</v>
      </c>
      <c r="G83" s="177"/>
      <c r="H83" s="185" t="s">
        <v>2844</v>
      </c>
      <c r="I83" s="184" t="s">
        <v>2702</v>
      </c>
      <c r="J83" s="185" t="s">
        <v>1626</v>
      </c>
      <c r="K83" s="184" t="s">
        <v>2587</v>
      </c>
      <c r="L83" s="250" t="s">
        <v>2635</v>
      </c>
      <c r="M83" s="251"/>
      <c r="N83" s="177"/>
      <c r="O83" s="177" t="s">
        <v>2561</v>
      </c>
      <c r="P83" s="177"/>
    </row>
    <row r="84" spans="1:16" ht="90">
      <c r="A84" s="179">
        <v>46356</v>
      </c>
      <c r="B84" s="177" t="s">
        <v>1521</v>
      </c>
      <c r="C84" s="167" t="s">
        <v>2547</v>
      </c>
      <c r="D84" s="167" t="s">
        <v>2557</v>
      </c>
      <c r="E84" s="177" t="s">
        <v>2586</v>
      </c>
      <c r="F84" s="195" t="s">
        <v>2884</v>
      </c>
      <c r="G84" s="177" t="s">
        <v>1833</v>
      </c>
      <c r="H84" s="185" t="s">
        <v>2845</v>
      </c>
      <c r="I84" s="184" t="s">
        <v>2703</v>
      </c>
      <c r="J84" s="185" t="s">
        <v>1627</v>
      </c>
      <c r="K84" s="184" t="s">
        <v>2587</v>
      </c>
      <c r="L84" s="250" t="s">
        <v>2635</v>
      </c>
      <c r="M84" s="251"/>
      <c r="N84" s="177"/>
      <c r="O84" s="177" t="s">
        <v>2561</v>
      </c>
      <c r="P84" s="177"/>
    </row>
    <row r="85" spans="1:16" ht="90">
      <c r="A85" s="179">
        <v>46357</v>
      </c>
      <c r="B85" s="177" t="s">
        <v>1522</v>
      </c>
      <c r="C85" s="167" t="s">
        <v>2547</v>
      </c>
      <c r="D85" s="167" t="s">
        <v>2557</v>
      </c>
      <c r="E85" s="177" t="s">
        <v>2586</v>
      </c>
      <c r="F85" s="195" t="s">
        <v>2884</v>
      </c>
      <c r="G85" s="177"/>
      <c r="H85" s="185" t="s">
        <v>2846</v>
      </c>
      <c r="I85" s="184" t="s">
        <v>2704</v>
      </c>
      <c r="J85" s="185" t="s">
        <v>1628</v>
      </c>
      <c r="K85" s="184" t="s">
        <v>2587</v>
      </c>
      <c r="L85" s="250" t="s">
        <v>2635</v>
      </c>
      <c r="M85" s="251"/>
      <c r="N85" s="177"/>
      <c r="O85" s="177" t="s">
        <v>2561</v>
      </c>
      <c r="P85" s="177"/>
    </row>
    <row r="86" spans="1:16" ht="90">
      <c r="A86" s="179">
        <v>46358</v>
      </c>
      <c r="B86" s="177" t="s">
        <v>1523</v>
      </c>
      <c r="C86" s="167" t="s">
        <v>2547</v>
      </c>
      <c r="D86" s="167" t="s">
        <v>2557</v>
      </c>
      <c r="E86" s="177" t="s">
        <v>2586</v>
      </c>
      <c r="F86" s="195" t="s">
        <v>2884</v>
      </c>
      <c r="G86" s="177"/>
      <c r="H86" s="185" t="s">
        <v>2847</v>
      </c>
      <c r="I86" s="184" t="s">
        <v>2705</v>
      </c>
      <c r="J86" s="185" t="s">
        <v>1629</v>
      </c>
      <c r="K86" s="184" t="s">
        <v>2587</v>
      </c>
      <c r="L86" s="250" t="s">
        <v>2635</v>
      </c>
      <c r="M86" s="251"/>
      <c r="N86" s="177"/>
      <c r="O86" s="177" t="s">
        <v>2561</v>
      </c>
      <c r="P86" s="177"/>
    </row>
    <row r="87" spans="1:16" ht="90">
      <c r="A87" s="179">
        <v>46359</v>
      </c>
      <c r="B87" s="177" t="s">
        <v>1524</v>
      </c>
      <c r="C87" s="167" t="s">
        <v>2547</v>
      </c>
      <c r="D87" s="167" t="s">
        <v>2557</v>
      </c>
      <c r="E87" s="177" t="s">
        <v>2586</v>
      </c>
      <c r="F87" s="195" t="s">
        <v>2884</v>
      </c>
      <c r="G87" s="177"/>
      <c r="H87" s="185" t="s">
        <v>2848</v>
      </c>
      <c r="I87" s="184" t="s">
        <v>2706</v>
      </c>
      <c r="J87" s="185" t="s">
        <v>1630</v>
      </c>
      <c r="K87" s="184" t="s">
        <v>2587</v>
      </c>
      <c r="L87" s="250" t="s">
        <v>2635</v>
      </c>
      <c r="M87" s="251"/>
      <c r="N87" s="177"/>
      <c r="O87" s="177" t="s">
        <v>2561</v>
      </c>
      <c r="P87" s="177"/>
    </row>
    <row r="88" spans="1:16" ht="90">
      <c r="A88" s="179">
        <v>46360</v>
      </c>
      <c r="B88" s="177" t="s">
        <v>1525</v>
      </c>
      <c r="C88" s="167" t="s">
        <v>2547</v>
      </c>
      <c r="D88" s="167" t="s">
        <v>2557</v>
      </c>
      <c r="E88" s="177" t="s">
        <v>2586</v>
      </c>
      <c r="F88" s="195" t="s">
        <v>2884</v>
      </c>
      <c r="G88" s="177"/>
      <c r="H88" s="185" t="s">
        <v>2849</v>
      </c>
      <c r="I88" s="184" t="s">
        <v>2707</v>
      </c>
      <c r="J88" s="185" t="s">
        <v>1631</v>
      </c>
      <c r="K88" s="184" t="s">
        <v>2587</v>
      </c>
      <c r="L88" s="250" t="s">
        <v>2635</v>
      </c>
      <c r="M88" s="251"/>
      <c r="N88" s="177"/>
      <c r="O88" s="177" t="s">
        <v>2561</v>
      </c>
      <c r="P88" s="177"/>
    </row>
    <row r="89" spans="1:16" ht="90">
      <c r="A89" s="179">
        <v>46361</v>
      </c>
      <c r="B89" s="177" t="s">
        <v>1526</v>
      </c>
      <c r="C89" s="167" t="s">
        <v>2547</v>
      </c>
      <c r="D89" s="167" t="s">
        <v>2557</v>
      </c>
      <c r="E89" s="177" t="s">
        <v>2586</v>
      </c>
      <c r="F89" s="195" t="s">
        <v>2884</v>
      </c>
      <c r="G89" s="177"/>
      <c r="H89" s="185" t="s">
        <v>2850</v>
      </c>
      <c r="I89" s="184" t="s">
        <v>2708</v>
      </c>
      <c r="J89" s="185" t="s">
        <v>1632</v>
      </c>
      <c r="K89" s="184" t="s">
        <v>2587</v>
      </c>
      <c r="L89" s="250" t="s">
        <v>2635</v>
      </c>
      <c r="M89" s="251"/>
      <c r="N89" s="177"/>
      <c r="O89" s="177" t="s">
        <v>2561</v>
      </c>
      <c r="P89" s="177"/>
    </row>
    <row r="90" spans="1:16" ht="90">
      <c r="A90" s="179">
        <v>46362</v>
      </c>
      <c r="B90" s="177" t="s">
        <v>1520</v>
      </c>
      <c r="C90" s="167" t="s">
        <v>2547</v>
      </c>
      <c r="D90" s="167" t="s">
        <v>2557</v>
      </c>
      <c r="E90" s="177" t="s">
        <v>2586</v>
      </c>
      <c r="F90" s="195" t="s">
        <v>2884</v>
      </c>
      <c r="G90" s="177"/>
      <c r="H90" s="185" t="s">
        <v>2851</v>
      </c>
      <c r="I90" s="184" t="s">
        <v>2709</v>
      </c>
      <c r="J90" s="185" t="s">
        <v>1633</v>
      </c>
      <c r="K90" s="184" t="s">
        <v>2587</v>
      </c>
      <c r="L90" s="250" t="s">
        <v>2635</v>
      </c>
      <c r="M90" s="251"/>
      <c r="N90" s="177"/>
      <c r="O90" s="177" t="s">
        <v>2561</v>
      </c>
      <c r="P90" s="177"/>
    </row>
    <row r="91" spans="1:16" ht="90">
      <c r="A91" s="179">
        <v>46363</v>
      </c>
      <c r="B91" s="177" t="s">
        <v>1521</v>
      </c>
      <c r="C91" s="167" t="s">
        <v>2547</v>
      </c>
      <c r="D91" s="167" t="s">
        <v>2557</v>
      </c>
      <c r="E91" s="177" t="s">
        <v>2586</v>
      </c>
      <c r="F91" s="195" t="s">
        <v>2884</v>
      </c>
      <c r="G91" s="177"/>
      <c r="H91" s="185" t="s">
        <v>2852</v>
      </c>
      <c r="I91" s="184" t="s">
        <v>2710</v>
      </c>
      <c r="J91" s="185" t="s">
        <v>1634</v>
      </c>
      <c r="K91" s="184" t="s">
        <v>2587</v>
      </c>
      <c r="L91" s="250" t="s">
        <v>2635</v>
      </c>
      <c r="M91" s="251"/>
      <c r="N91" s="177"/>
      <c r="O91" s="177" t="s">
        <v>2561</v>
      </c>
      <c r="P91" s="177"/>
    </row>
    <row r="92" spans="1:16" ht="90">
      <c r="A92" s="179">
        <v>46364</v>
      </c>
      <c r="B92" s="177" t="s">
        <v>1522</v>
      </c>
      <c r="C92" s="167" t="s">
        <v>2547</v>
      </c>
      <c r="D92" s="167" t="s">
        <v>2557</v>
      </c>
      <c r="E92" s="177" t="s">
        <v>2586</v>
      </c>
      <c r="F92" s="195" t="s">
        <v>2884</v>
      </c>
      <c r="G92" s="177"/>
      <c r="H92" s="185" t="s">
        <v>2853</v>
      </c>
      <c r="I92" s="184" t="s">
        <v>2711</v>
      </c>
      <c r="J92" s="185" t="s">
        <v>1635</v>
      </c>
      <c r="K92" s="184" t="s">
        <v>2587</v>
      </c>
      <c r="L92" s="250" t="s">
        <v>2635</v>
      </c>
      <c r="M92" s="251"/>
      <c r="N92" s="177"/>
      <c r="O92" s="177" t="s">
        <v>2561</v>
      </c>
      <c r="P92" s="177"/>
    </row>
    <row r="93" spans="1:16" ht="90">
      <c r="A93" s="179">
        <v>46365</v>
      </c>
      <c r="B93" s="177" t="s">
        <v>1523</v>
      </c>
      <c r="C93" s="167" t="s">
        <v>2547</v>
      </c>
      <c r="D93" s="167" t="s">
        <v>2557</v>
      </c>
      <c r="E93" s="177" t="s">
        <v>2586</v>
      </c>
      <c r="F93" s="195" t="s">
        <v>2884</v>
      </c>
      <c r="G93" s="177"/>
      <c r="H93" s="185" t="s">
        <v>2854</v>
      </c>
      <c r="I93" s="184" t="s">
        <v>2712</v>
      </c>
      <c r="J93" s="185" t="s">
        <v>1636</v>
      </c>
      <c r="K93" s="184" t="s">
        <v>2587</v>
      </c>
      <c r="L93" s="250" t="s">
        <v>2635</v>
      </c>
      <c r="M93" s="251"/>
      <c r="N93" s="177"/>
      <c r="O93" s="177" t="s">
        <v>2561</v>
      </c>
      <c r="P93" s="177"/>
    </row>
    <row r="94" spans="1:16" ht="90">
      <c r="A94" s="179">
        <v>46366</v>
      </c>
      <c r="B94" s="177" t="s">
        <v>1524</v>
      </c>
      <c r="C94" s="167" t="s">
        <v>2547</v>
      </c>
      <c r="D94" s="167" t="s">
        <v>2557</v>
      </c>
      <c r="E94" s="177" t="s">
        <v>2586</v>
      </c>
      <c r="F94" s="195" t="s">
        <v>2884</v>
      </c>
      <c r="G94" s="177"/>
      <c r="H94" s="185" t="s">
        <v>2855</v>
      </c>
      <c r="I94" s="184" t="s">
        <v>2713</v>
      </c>
      <c r="J94" s="185" t="s">
        <v>1637</v>
      </c>
      <c r="K94" s="184" t="s">
        <v>2587</v>
      </c>
      <c r="L94" s="250" t="s">
        <v>2635</v>
      </c>
      <c r="M94" s="251"/>
      <c r="N94" s="177"/>
      <c r="O94" s="177" t="s">
        <v>2561</v>
      </c>
      <c r="P94" s="177"/>
    </row>
    <row r="95" spans="1:16" ht="90">
      <c r="A95" s="179">
        <v>46367</v>
      </c>
      <c r="B95" s="177" t="s">
        <v>1525</v>
      </c>
      <c r="C95" s="167" t="s">
        <v>2547</v>
      </c>
      <c r="D95" s="167" t="s">
        <v>2557</v>
      </c>
      <c r="E95" s="177" t="s">
        <v>2586</v>
      </c>
      <c r="F95" s="195" t="s">
        <v>2884</v>
      </c>
      <c r="G95" s="177"/>
      <c r="H95" s="185" t="s">
        <v>2856</v>
      </c>
      <c r="I95" s="184" t="s">
        <v>2714</v>
      </c>
      <c r="J95" s="185" t="s">
        <v>1638</v>
      </c>
      <c r="K95" s="184" t="s">
        <v>2587</v>
      </c>
      <c r="L95" s="250" t="s">
        <v>2635</v>
      </c>
      <c r="M95" s="251"/>
      <c r="N95" s="177"/>
      <c r="O95" s="177" t="s">
        <v>2561</v>
      </c>
      <c r="P95" s="177"/>
    </row>
    <row r="96" spans="1:16" ht="90">
      <c r="A96" s="179">
        <v>46368</v>
      </c>
      <c r="B96" s="177" t="s">
        <v>1526</v>
      </c>
      <c r="C96" s="167" t="s">
        <v>2547</v>
      </c>
      <c r="D96" s="167" t="s">
        <v>2557</v>
      </c>
      <c r="E96" s="177" t="s">
        <v>2586</v>
      </c>
      <c r="F96" s="195" t="s">
        <v>2884</v>
      </c>
      <c r="G96" s="177"/>
      <c r="H96" s="185" t="s">
        <v>2857</v>
      </c>
      <c r="I96" s="184" t="s">
        <v>2715</v>
      </c>
      <c r="J96" s="185" t="s">
        <v>1639</v>
      </c>
      <c r="K96" s="184" t="s">
        <v>2587</v>
      </c>
      <c r="L96" s="250" t="s">
        <v>2635</v>
      </c>
      <c r="M96" s="251"/>
      <c r="N96" s="177"/>
      <c r="O96" s="177" t="s">
        <v>2561</v>
      </c>
      <c r="P96" s="177"/>
    </row>
    <row r="97" spans="1:16" ht="90">
      <c r="A97" s="179">
        <v>46369</v>
      </c>
      <c r="B97" s="177" t="s">
        <v>1520</v>
      </c>
      <c r="C97" s="167" t="s">
        <v>2547</v>
      </c>
      <c r="D97" s="167" t="s">
        <v>2557</v>
      </c>
      <c r="E97" s="177" t="s">
        <v>2586</v>
      </c>
      <c r="F97" s="195" t="s">
        <v>2884</v>
      </c>
      <c r="G97" s="177"/>
      <c r="H97" s="185" t="s">
        <v>2858</v>
      </c>
      <c r="I97" s="184" t="s">
        <v>2716</v>
      </c>
      <c r="J97" s="185" t="s">
        <v>1640</v>
      </c>
      <c r="K97" s="184" t="s">
        <v>2587</v>
      </c>
      <c r="L97" s="250" t="s">
        <v>2635</v>
      </c>
      <c r="M97" s="251"/>
      <c r="N97" s="177"/>
      <c r="O97" s="177" t="s">
        <v>2561</v>
      </c>
      <c r="P97" s="177"/>
    </row>
    <row r="98" spans="1:16" ht="90">
      <c r="A98" s="179">
        <v>46370</v>
      </c>
      <c r="B98" s="177" t="s">
        <v>1521</v>
      </c>
      <c r="C98" s="167" t="s">
        <v>2547</v>
      </c>
      <c r="D98" s="167" t="s">
        <v>2557</v>
      </c>
      <c r="E98" s="177" t="s">
        <v>2586</v>
      </c>
      <c r="F98" s="195" t="s">
        <v>2884</v>
      </c>
      <c r="G98" s="177"/>
      <c r="H98" s="185" t="s">
        <v>2859</v>
      </c>
      <c r="I98" s="184" t="s">
        <v>2717</v>
      </c>
      <c r="J98" s="185" t="s">
        <v>1641</v>
      </c>
      <c r="K98" s="184" t="s">
        <v>2587</v>
      </c>
      <c r="L98" s="250" t="s">
        <v>2635</v>
      </c>
      <c r="M98" s="251"/>
      <c r="N98" s="177"/>
      <c r="O98" s="177" t="s">
        <v>2561</v>
      </c>
      <c r="P98" s="177"/>
    </row>
    <row r="99" spans="1:16" ht="90">
      <c r="A99" s="179">
        <v>46371</v>
      </c>
      <c r="B99" s="177" t="s">
        <v>1522</v>
      </c>
      <c r="C99" s="167" t="s">
        <v>2547</v>
      </c>
      <c r="D99" s="167" t="s">
        <v>2557</v>
      </c>
      <c r="E99" s="177" t="s">
        <v>2586</v>
      </c>
      <c r="F99" s="195" t="s">
        <v>2884</v>
      </c>
      <c r="G99" s="177"/>
      <c r="H99" s="185" t="s">
        <v>2860</v>
      </c>
      <c r="I99" s="184" t="s">
        <v>2718</v>
      </c>
      <c r="J99" s="185" t="s">
        <v>1642</v>
      </c>
      <c r="K99" s="184" t="s">
        <v>2587</v>
      </c>
      <c r="L99" s="250" t="s">
        <v>2635</v>
      </c>
      <c r="M99" s="251"/>
      <c r="N99" s="177"/>
      <c r="O99" s="177" t="s">
        <v>2561</v>
      </c>
      <c r="P99" s="177"/>
    </row>
    <row r="100" spans="1:16" ht="90">
      <c r="A100" s="179">
        <v>46372</v>
      </c>
      <c r="B100" s="177" t="s">
        <v>1523</v>
      </c>
      <c r="C100" s="167" t="s">
        <v>2547</v>
      </c>
      <c r="D100" s="167" t="s">
        <v>2557</v>
      </c>
      <c r="E100" s="177" t="s">
        <v>2586</v>
      </c>
      <c r="F100" s="195" t="s">
        <v>2884</v>
      </c>
      <c r="G100" s="177"/>
      <c r="H100" s="185" t="s">
        <v>2861</v>
      </c>
      <c r="I100" s="184" t="s">
        <v>2719</v>
      </c>
      <c r="J100" s="185" t="s">
        <v>1643</v>
      </c>
      <c r="K100" s="184" t="s">
        <v>2587</v>
      </c>
      <c r="L100" s="250" t="s">
        <v>2635</v>
      </c>
      <c r="M100" s="251"/>
      <c r="N100" s="177"/>
      <c r="O100" s="177" t="s">
        <v>2561</v>
      </c>
      <c r="P100" s="177"/>
    </row>
    <row r="101" spans="1:16" ht="90">
      <c r="A101" s="179">
        <v>46373</v>
      </c>
      <c r="B101" s="177" t="s">
        <v>1524</v>
      </c>
      <c r="C101" s="167" t="s">
        <v>2547</v>
      </c>
      <c r="D101" s="167" t="s">
        <v>2557</v>
      </c>
      <c r="E101" s="177" t="s">
        <v>2586</v>
      </c>
      <c r="F101" s="195" t="s">
        <v>2884</v>
      </c>
      <c r="G101" s="177"/>
      <c r="H101" s="185" t="s">
        <v>2862</v>
      </c>
      <c r="I101" s="184" t="s">
        <v>2720</v>
      </c>
      <c r="J101" s="185" t="s">
        <v>1644</v>
      </c>
      <c r="K101" s="184" t="s">
        <v>2587</v>
      </c>
      <c r="L101" s="250" t="s">
        <v>2635</v>
      </c>
      <c r="M101" s="251"/>
      <c r="N101" s="177"/>
      <c r="O101" s="177" t="s">
        <v>2561</v>
      </c>
      <c r="P101" s="177"/>
    </row>
    <row r="102" spans="1:16" ht="90">
      <c r="A102" s="179">
        <v>46374</v>
      </c>
      <c r="B102" s="177" t="s">
        <v>1525</v>
      </c>
      <c r="C102" s="167" t="s">
        <v>2547</v>
      </c>
      <c r="D102" s="167" t="s">
        <v>2557</v>
      </c>
      <c r="E102" s="177" t="s">
        <v>2586</v>
      </c>
      <c r="F102" s="195" t="s">
        <v>2884</v>
      </c>
      <c r="G102" s="177" t="s">
        <v>1834</v>
      </c>
      <c r="H102" s="185" t="s">
        <v>2863</v>
      </c>
      <c r="I102" s="184" t="s">
        <v>2721</v>
      </c>
      <c r="J102" s="185" t="s">
        <v>1645</v>
      </c>
      <c r="K102" s="184" t="s">
        <v>2587</v>
      </c>
      <c r="L102" s="250" t="s">
        <v>2635</v>
      </c>
      <c r="M102" s="251"/>
      <c r="N102" s="177"/>
      <c r="O102" s="177" t="s">
        <v>2561</v>
      </c>
      <c r="P102" s="177"/>
    </row>
    <row r="103" spans="1:16" ht="90">
      <c r="A103" s="179">
        <v>46375</v>
      </c>
      <c r="B103" s="177" t="s">
        <v>1526</v>
      </c>
      <c r="C103" s="167" t="s">
        <v>2547</v>
      </c>
      <c r="D103" s="167" t="s">
        <v>2557</v>
      </c>
      <c r="E103" s="177" t="s">
        <v>2586</v>
      </c>
      <c r="F103" s="195" t="s">
        <v>2884</v>
      </c>
      <c r="G103" s="177"/>
      <c r="H103" s="185" t="s">
        <v>2864</v>
      </c>
      <c r="I103" s="184" t="s">
        <v>2722</v>
      </c>
      <c r="J103" s="185" t="s">
        <v>1646</v>
      </c>
      <c r="K103" s="184" t="s">
        <v>2587</v>
      </c>
      <c r="L103" s="250" t="s">
        <v>2635</v>
      </c>
      <c r="M103" s="251"/>
      <c r="N103" s="177"/>
      <c r="O103" s="177" t="s">
        <v>2561</v>
      </c>
      <c r="P103" s="177"/>
    </row>
    <row r="104" spans="1:16" ht="90">
      <c r="A104" s="179">
        <v>46376</v>
      </c>
      <c r="B104" s="177" t="s">
        <v>1520</v>
      </c>
      <c r="C104" s="167" t="s">
        <v>2547</v>
      </c>
      <c r="D104" s="167" t="s">
        <v>2557</v>
      </c>
      <c r="E104" s="177" t="s">
        <v>2586</v>
      </c>
      <c r="F104" s="195" t="s">
        <v>2884</v>
      </c>
      <c r="G104" s="177"/>
      <c r="H104" s="185" t="s">
        <v>2865</v>
      </c>
      <c r="I104" s="184" t="s">
        <v>2723</v>
      </c>
      <c r="J104" s="185" t="s">
        <v>1647</v>
      </c>
      <c r="K104" s="184" t="s">
        <v>2587</v>
      </c>
      <c r="L104" s="250" t="s">
        <v>2635</v>
      </c>
      <c r="M104" s="251"/>
      <c r="N104" s="177"/>
      <c r="O104" s="177" t="s">
        <v>2561</v>
      </c>
      <c r="P104" s="177"/>
    </row>
    <row r="105" spans="1:16" ht="90">
      <c r="A105" s="179">
        <v>46377</v>
      </c>
      <c r="B105" s="177" t="s">
        <v>1521</v>
      </c>
      <c r="C105" s="167" t="s">
        <v>2547</v>
      </c>
      <c r="D105" s="167" t="s">
        <v>2557</v>
      </c>
      <c r="E105" s="177" t="s">
        <v>2586</v>
      </c>
      <c r="F105" s="195" t="s">
        <v>2884</v>
      </c>
      <c r="G105" s="177"/>
      <c r="H105" s="185" t="s">
        <v>2866</v>
      </c>
      <c r="I105" s="184" t="s">
        <v>2724</v>
      </c>
      <c r="J105" s="185" t="s">
        <v>1648</v>
      </c>
      <c r="K105" s="184" t="s">
        <v>2587</v>
      </c>
      <c r="L105" s="250" t="s">
        <v>2635</v>
      </c>
      <c r="M105" s="251"/>
      <c r="N105" s="177"/>
      <c r="O105" s="177" t="s">
        <v>2561</v>
      </c>
      <c r="P105" s="177"/>
    </row>
    <row r="106" spans="1:16" ht="90">
      <c r="A106" s="179">
        <v>46378</v>
      </c>
      <c r="B106" s="177" t="s">
        <v>1522</v>
      </c>
      <c r="C106" s="167" t="s">
        <v>2547</v>
      </c>
      <c r="D106" s="167" t="s">
        <v>2557</v>
      </c>
      <c r="E106" s="177" t="s">
        <v>2586</v>
      </c>
      <c r="F106" s="195" t="s">
        <v>2884</v>
      </c>
      <c r="G106" s="177"/>
      <c r="H106" s="185" t="s">
        <v>2867</v>
      </c>
      <c r="I106" s="184" t="s">
        <v>2725</v>
      </c>
      <c r="J106" s="184"/>
      <c r="K106" s="184" t="s">
        <v>2587</v>
      </c>
      <c r="L106" s="250" t="s">
        <v>2635</v>
      </c>
      <c r="M106" s="251"/>
      <c r="N106" s="177"/>
      <c r="O106" s="177" t="s">
        <v>2561</v>
      </c>
      <c r="P106" s="177"/>
    </row>
    <row r="107" spans="1:16" ht="90">
      <c r="A107" s="179">
        <v>46379</v>
      </c>
      <c r="B107" s="177" t="s">
        <v>1523</v>
      </c>
      <c r="C107" s="167" t="s">
        <v>2547</v>
      </c>
      <c r="D107" s="167" t="s">
        <v>2557</v>
      </c>
      <c r="E107" s="177" t="s">
        <v>2586</v>
      </c>
      <c r="F107" s="195" t="s">
        <v>2884</v>
      </c>
      <c r="G107" s="177"/>
      <c r="H107" s="185" t="s">
        <v>2868</v>
      </c>
      <c r="I107" s="184" t="s">
        <v>2726</v>
      </c>
      <c r="J107" s="184"/>
      <c r="K107" s="184" t="s">
        <v>2587</v>
      </c>
      <c r="L107" s="250" t="s">
        <v>2635</v>
      </c>
      <c r="M107" s="251"/>
      <c r="N107" s="177"/>
      <c r="O107" s="177" t="s">
        <v>2561</v>
      </c>
      <c r="P107" s="177"/>
    </row>
    <row r="108" spans="1:16" ht="90">
      <c r="A108" s="179">
        <v>46380</v>
      </c>
      <c r="B108" s="177" t="s">
        <v>1524</v>
      </c>
      <c r="C108" s="167" t="s">
        <v>2547</v>
      </c>
      <c r="D108" s="167" t="s">
        <v>2557</v>
      </c>
      <c r="E108" s="177" t="s">
        <v>2586</v>
      </c>
      <c r="F108" s="195" t="s">
        <v>2884</v>
      </c>
      <c r="G108" s="177"/>
      <c r="H108" s="185" t="s">
        <v>2869</v>
      </c>
      <c r="I108" s="184" t="s">
        <v>2727</v>
      </c>
      <c r="J108" s="184"/>
      <c r="K108" s="184" t="s">
        <v>2587</v>
      </c>
      <c r="L108" s="250" t="s">
        <v>2635</v>
      </c>
      <c r="M108" s="251"/>
      <c r="N108" s="177"/>
      <c r="O108" s="177" t="s">
        <v>2561</v>
      </c>
      <c r="P108" s="177"/>
    </row>
    <row r="109" spans="1:16" ht="90">
      <c r="A109" s="179">
        <v>46381</v>
      </c>
      <c r="B109" s="177" t="s">
        <v>1525</v>
      </c>
      <c r="C109" s="167" t="s">
        <v>2547</v>
      </c>
      <c r="D109" s="167" t="s">
        <v>2557</v>
      </c>
      <c r="E109" s="177" t="s">
        <v>2586</v>
      </c>
      <c r="F109" s="195" t="s">
        <v>2884</v>
      </c>
      <c r="G109" s="177"/>
      <c r="H109" s="185" t="s">
        <v>2870</v>
      </c>
      <c r="I109" s="184" t="s">
        <v>2728</v>
      </c>
      <c r="J109" s="184"/>
      <c r="K109" s="184" t="s">
        <v>2587</v>
      </c>
      <c r="L109" s="250" t="s">
        <v>2635</v>
      </c>
      <c r="M109" s="251"/>
      <c r="N109" s="177"/>
      <c r="O109" s="177" t="s">
        <v>2561</v>
      </c>
      <c r="P109" s="177"/>
    </row>
    <row r="110" spans="1:16" ht="90">
      <c r="A110" s="179">
        <v>46382</v>
      </c>
      <c r="B110" s="177" t="s">
        <v>1526</v>
      </c>
      <c r="C110" s="167" t="s">
        <v>2547</v>
      </c>
      <c r="D110" s="167" t="s">
        <v>2557</v>
      </c>
      <c r="E110" s="177" t="s">
        <v>2586</v>
      </c>
      <c r="F110" s="195" t="s">
        <v>2884</v>
      </c>
      <c r="G110" s="177"/>
      <c r="H110" s="185" t="s">
        <v>2871</v>
      </c>
      <c r="I110" s="184" t="s">
        <v>2729</v>
      </c>
      <c r="J110" s="184"/>
      <c r="K110" s="184" t="s">
        <v>2587</v>
      </c>
      <c r="L110" s="250" t="s">
        <v>2635</v>
      </c>
      <c r="M110" s="251"/>
      <c r="N110" s="177"/>
      <c r="O110" s="177" t="s">
        <v>2561</v>
      </c>
      <c r="P110" s="177"/>
    </row>
    <row r="111" spans="1:16" ht="90">
      <c r="A111" s="179">
        <v>46383</v>
      </c>
      <c r="B111" s="177" t="s">
        <v>1520</v>
      </c>
      <c r="C111" s="167" t="s">
        <v>2547</v>
      </c>
      <c r="D111" s="167" t="s">
        <v>2557</v>
      </c>
      <c r="E111" s="177" t="s">
        <v>2586</v>
      </c>
      <c r="F111" s="195" t="s">
        <v>2884</v>
      </c>
      <c r="G111" s="177"/>
      <c r="H111" s="185" t="s">
        <v>2872</v>
      </c>
      <c r="I111" s="184" t="s">
        <v>2730</v>
      </c>
      <c r="J111" s="184"/>
      <c r="K111" s="184" t="s">
        <v>2587</v>
      </c>
      <c r="L111" s="250" t="s">
        <v>2635</v>
      </c>
      <c r="M111" s="251"/>
      <c r="N111" s="177"/>
      <c r="O111" s="177" t="s">
        <v>2561</v>
      </c>
      <c r="P111" s="177"/>
    </row>
    <row r="112" spans="1:16" ht="90">
      <c r="A112" s="179">
        <v>46384</v>
      </c>
      <c r="B112" s="177" t="s">
        <v>1521</v>
      </c>
      <c r="C112" s="167" t="s">
        <v>2547</v>
      </c>
      <c r="D112" s="167" t="s">
        <v>2557</v>
      </c>
      <c r="E112" s="177" t="s">
        <v>2586</v>
      </c>
      <c r="F112" s="195" t="s">
        <v>2884</v>
      </c>
      <c r="G112" s="177"/>
      <c r="H112" s="185" t="s">
        <v>2873</v>
      </c>
      <c r="I112" s="184" t="s">
        <v>2731</v>
      </c>
      <c r="J112" s="184"/>
      <c r="K112" s="184" t="s">
        <v>2587</v>
      </c>
      <c r="L112" s="250" t="s">
        <v>2635</v>
      </c>
      <c r="M112" s="251"/>
      <c r="N112" s="177"/>
      <c r="O112" s="177" t="s">
        <v>2561</v>
      </c>
      <c r="P112" s="177"/>
    </row>
    <row r="113" spans="1:16" ht="90">
      <c r="A113" s="179">
        <v>46385</v>
      </c>
      <c r="B113" s="177" t="s">
        <v>1522</v>
      </c>
      <c r="C113" s="167" t="s">
        <v>2547</v>
      </c>
      <c r="D113" s="167" t="s">
        <v>2557</v>
      </c>
      <c r="E113" s="177" t="s">
        <v>2586</v>
      </c>
      <c r="F113" s="195" t="s">
        <v>2884</v>
      </c>
      <c r="G113" s="177"/>
      <c r="H113" s="185" t="s">
        <v>2874</v>
      </c>
      <c r="I113" s="184" t="s">
        <v>2732</v>
      </c>
      <c r="J113" s="184"/>
      <c r="K113" s="184" t="s">
        <v>2587</v>
      </c>
      <c r="L113" s="250" t="s">
        <v>2635</v>
      </c>
      <c r="M113" s="251"/>
      <c r="N113" s="177"/>
      <c r="O113" s="177" t="s">
        <v>2561</v>
      </c>
      <c r="P113" s="177"/>
    </row>
    <row r="114" spans="1:16" ht="90">
      <c r="A114" s="179">
        <v>46386</v>
      </c>
      <c r="B114" s="177" t="s">
        <v>1523</v>
      </c>
      <c r="C114" s="167" t="s">
        <v>2547</v>
      </c>
      <c r="D114" s="167" t="s">
        <v>2557</v>
      </c>
      <c r="E114" s="177" t="s">
        <v>2586</v>
      </c>
      <c r="F114" s="195" t="s">
        <v>2884</v>
      </c>
      <c r="G114" s="177"/>
      <c r="H114" s="185" t="s">
        <v>2875</v>
      </c>
      <c r="I114" s="184" t="s">
        <v>2733</v>
      </c>
      <c r="J114" s="184"/>
      <c r="K114" s="184" t="s">
        <v>2587</v>
      </c>
      <c r="L114" s="250" t="s">
        <v>2635</v>
      </c>
      <c r="M114" s="251"/>
      <c r="N114" s="177"/>
      <c r="O114" s="177" t="s">
        <v>2561</v>
      </c>
      <c r="P114" s="177"/>
    </row>
    <row r="115" spans="1:16" ht="90">
      <c r="A115" s="179">
        <v>46387</v>
      </c>
      <c r="B115" s="177" t="s">
        <v>1524</v>
      </c>
      <c r="C115" s="167" t="s">
        <v>2547</v>
      </c>
      <c r="D115" s="167" t="s">
        <v>2557</v>
      </c>
      <c r="E115" s="177" t="s">
        <v>2586</v>
      </c>
      <c r="F115" s="195" t="s">
        <v>2884</v>
      </c>
      <c r="G115" s="177"/>
      <c r="H115" s="185" t="s">
        <v>2876</v>
      </c>
      <c r="I115" s="184" t="s">
        <v>2734</v>
      </c>
      <c r="J115" s="184"/>
      <c r="K115" s="184" t="s">
        <v>2587</v>
      </c>
      <c r="L115" s="250" t="s">
        <v>2635</v>
      </c>
      <c r="M115" s="251"/>
      <c r="N115" s="177"/>
      <c r="O115" s="177" t="s">
        <v>2561</v>
      </c>
      <c r="P115" s="177"/>
    </row>
    <row r="116" spans="1:16" ht="28.5">
      <c r="A116" s="182"/>
      <c r="G116" s="158" t="s">
        <v>2882</v>
      </c>
      <c r="H116" s="169" t="s">
        <v>2877</v>
      </c>
      <c r="I116" s="169" t="s">
        <v>2879</v>
      </c>
      <c r="J116" s="169" t="s">
        <v>2878</v>
      </c>
      <c r="K116" s="169" t="s">
        <v>2880</v>
      </c>
      <c r="L116" s="256" t="s">
        <v>2881</v>
      </c>
      <c r="M116" s="256"/>
    </row>
    <row r="117" spans="1:16">
      <c r="G117" s="214"/>
      <c r="H117" s="214"/>
      <c r="I117" s="214"/>
      <c r="J117" s="214"/>
      <c r="K117" s="214"/>
      <c r="L117" s="214"/>
      <c r="M117" s="214"/>
    </row>
    <row r="118" spans="1:16"/>
    <row r="119" spans="1:16"/>
    <row r="120" spans="1:16"/>
    <row r="121" spans="1:16"/>
    <row r="122" spans="1:16"/>
    <row r="123" spans="1:16"/>
    <row r="124" spans="1:16"/>
    <row r="125" spans="1:16"/>
    <row r="126" spans="1:16"/>
    <row r="127" spans="1:16"/>
    <row r="128" spans="1:16"/>
    <row r="129"/>
    <row r="130"/>
    <row r="131"/>
    <row r="132"/>
    <row r="133"/>
  </sheetData>
  <mergeCells count="36">
    <mergeCell ref="L116:M116"/>
    <mergeCell ref="L105:M105"/>
    <mergeCell ref="L106:M106"/>
    <mergeCell ref="L107:M107"/>
    <mergeCell ref="L108:M108"/>
    <mergeCell ref="L109:M109"/>
    <mergeCell ref="L110:M110"/>
    <mergeCell ref="L111:M111"/>
    <mergeCell ref="L112:M112"/>
    <mergeCell ref="L113:M113"/>
    <mergeCell ref="L114:M114"/>
    <mergeCell ref="L115:M115"/>
    <mergeCell ref="L104:M104"/>
    <mergeCell ref="L93:M93"/>
    <mergeCell ref="L94:M94"/>
    <mergeCell ref="L95:M95"/>
    <mergeCell ref="L96:M96"/>
    <mergeCell ref="L97:M97"/>
    <mergeCell ref="L98:M98"/>
    <mergeCell ref="L99:M99"/>
    <mergeCell ref="L100:M100"/>
    <mergeCell ref="L101:M101"/>
    <mergeCell ref="L102:M102"/>
    <mergeCell ref="L103:M103"/>
    <mergeCell ref="L92:M92"/>
    <mergeCell ref="L1:M1"/>
    <mergeCell ref="L82:M82"/>
    <mergeCell ref="L83:M83"/>
    <mergeCell ref="L84:M84"/>
    <mergeCell ref="L85:M85"/>
    <mergeCell ref="L86:M86"/>
    <mergeCell ref="L87:M87"/>
    <mergeCell ref="L88:M88"/>
    <mergeCell ref="L89:M89"/>
    <mergeCell ref="L90:M90"/>
    <mergeCell ref="L91:M9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88B9B-A181-4C3E-9530-2E2D03144047}">
  <sheetPr>
    <tabColor rgb="FFFF0000"/>
  </sheetPr>
  <dimension ref="A3:J55"/>
  <sheetViews>
    <sheetView workbookViewId="0">
      <selection activeCell="D19" sqref="D19"/>
    </sheetView>
  </sheetViews>
  <sheetFormatPr defaultRowHeight="14.25"/>
  <cols>
    <col min="1" max="1" width="9" style="158"/>
    <col min="2" max="5" width="16.25" style="158" customWidth="1"/>
    <col min="6" max="6" width="22.75" style="158" customWidth="1"/>
    <col min="7" max="7" width="16.25" style="158" customWidth="1"/>
    <col min="8" max="8" width="21.875" style="158" customWidth="1"/>
    <col min="9" max="9" width="20.75" style="158" customWidth="1"/>
    <col min="10" max="10" width="18.375" style="158" customWidth="1"/>
    <col min="11" max="16384" width="9" style="158"/>
  </cols>
  <sheetData>
    <row r="3" spans="1:10">
      <c r="A3" s="158" t="s">
        <v>1836</v>
      </c>
      <c r="B3" s="158" t="s">
        <v>1838</v>
      </c>
      <c r="C3" s="158" t="s">
        <v>1805</v>
      </c>
      <c r="D3" s="158" t="s">
        <v>1837</v>
      </c>
      <c r="E3" s="158" t="s">
        <v>1527</v>
      </c>
      <c r="F3" s="158" t="s">
        <v>1859</v>
      </c>
      <c r="H3" s="158" t="s">
        <v>1739</v>
      </c>
      <c r="I3" s="158" t="s">
        <v>1863</v>
      </c>
      <c r="J3" s="158" t="s">
        <v>1864</v>
      </c>
    </row>
    <row r="4" spans="1:10">
      <c r="B4" s="158" t="s">
        <v>1855</v>
      </c>
      <c r="C4" s="158" t="s">
        <v>1849</v>
      </c>
      <c r="F4" s="158" t="s">
        <v>1860</v>
      </c>
      <c r="H4" s="158" t="s">
        <v>1810</v>
      </c>
      <c r="I4" s="158" t="s">
        <v>1809</v>
      </c>
      <c r="J4" s="158" t="s">
        <v>1811</v>
      </c>
    </row>
    <row r="5" spans="1:10">
      <c r="B5" s="158" t="s">
        <v>1856</v>
      </c>
      <c r="C5" s="158" t="s">
        <v>1850</v>
      </c>
      <c r="F5" s="158" t="s">
        <v>1803</v>
      </c>
      <c r="H5" s="158" t="s">
        <v>1714</v>
      </c>
      <c r="I5" s="158" t="s">
        <v>1865</v>
      </c>
    </row>
    <row r="6" spans="1:10">
      <c r="B6" s="158" t="s">
        <v>1857</v>
      </c>
      <c r="C6" s="158" t="s">
        <v>1851</v>
      </c>
      <c r="F6" s="158" t="s">
        <v>1804</v>
      </c>
      <c r="H6" s="158" t="s">
        <v>1808</v>
      </c>
    </row>
    <row r="7" spans="1:10">
      <c r="B7" s="158" t="s">
        <v>1858</v>
      </c>
      <c r="C7" s="158" t="s">
        <v>1852</v>
      </c>
    </row>
    <row r="8" spans="1:10">
      <c r="C8" s="158" t="s">
        <v>1853</v>
      </c>
    </row>
    <row r="9" spans="1:10">
      <c r="C9" s="158" t="s">
        <v>1854</v>
      </c>
    </row>
    <row r="11" spans="1:10">
      <c r="A11" s="158" t="s">
        <v>1839</v>
      </c>
      <c r="B11" s="158" t="s">
        <v>1843</v>
      </c>
      <c r="C11" s="158" t="s">
        <v>1840</v>
      </c>
      <c r="D11" s="158" t="s">
        <v>1848</v>
      </c>
      <c r="E11" s="158" t="s">
        <v>1866</v>
      </c>
      <c r="F11" s="158" t="s">
        <v>1862</v>
      </c>
      <c r="H11" s="158" t="s">
        <v>1807</v>
      </c>
    </row>
    <row r="12" spans="1:10">
      <c r="B12" s="158" t="s">
        <v>1844</v>
      </c>
      <c r="C12" s="158" t="s">
        <v>1842</v>
      </c>
      <c r="D12" s="158" t="s">
        <v>1812</v>
      </c>
      <c r="F12" s="158" t="s">
        <v>1861</v>
      </c>
    </row>
    <row r="13" spans="1:10">
      <c r="B13" s="158" t="s">
        <v>1847</v>
      </c>
      <c r="C13" s="158" t="s">
        <v>1841</v>
      </c>
      <c r="D13" s="158" t="s">
        <v>1806</v>
      </c>
    </row>
    <row r="14" spans="1:10">
      <c r="B14" s="158" t="s">
        <v>1846</v>
      </c>
      <c r="D14" s="158" t="s">
        <v>1813</v>
      </c>
    </row>
    <row r="15" spans="1:10">
      <c r="B15" s="158" t="s">
        <v>1845</v>
      </c>
    </row>
    <row r="18" spans="1:10">
      <c r="A18" s="158" t="s">
        <v>1867</v>
      </c>
    </row>
    <row r="22" spans="1:10" ht="30">
      <c r="B22" s="257" t="s">
        <v>2398</v>
      </c>
      <c r="C22" s="257"/>
      <c r="D22" s="257"/>
      <c r="E22" s="257"/>
      <c r="F22" s="257"/>
      <c r="G22" s="257"/>
      <c r="H22" s="257"/>
      <c r="I22" s="257"/>
      <c r="J22" s="257"/>
    </row>
    <row r="23" spans="1:10">
      <c r="B23" s="46" t="s">
        <v>2270</v>
      </c>
    </row>
    <row r="24" spans="1:10">
      <c r="B24" s="46" t="s">
        <v>2271</v>
      </c>
    </row>
    <row r="25" spans="1:10" ht="57">
      <c r="B25" s="148" t="s">
        <v>2399</v>
      </c>
      <c r="C25" s="148" t="s">
        <v>2428</v>
      </c>
      <c r="D25" s="148" t="s">
        <v>2400</v>
      </c>
      <c r="E25" s="46" t="s">
        <v>2417</v>
      </c>
      <c r="F25" s="46" t="s">
        <v>2418</v>
      </c>
      <c r="G25" s="193" t="s">
        <v>2397</v>
      </c>
    </row>
    <row r="26" spans="1:10" ht="42.75">
      <c r="B26" s="60" t="s">
        <v>1914</v>
      </c>
      <c r="C26" s="46" t="s">
        <v>2275</v>
      </c>
      <c r="D26" s="46" t="s">
        <v>2278</v>
      </c>
      <c r="E26" s="46" t="s">
        <v>2427</v>
      </c>
      <c r="F26" s="46" t="s">
        <v>2419</v>
      </c>
      <c r="G26" s="194" t="s">
        <v>2301</v>
      </c>
    </row>
    <row r="27" spans="1:10" ht="42.75">
      <c r="B27" s="60" t="s">
        <v>2273</v>
      </c>
      <c r="C27" s="60" t="s">
        <v>1466</v>
      </c>
      <c r="D27" s="60" t="s">
        <v>2279</v>
      </c>
      <c r="G27" s="194" t="s">
        <v>2302</v>
      </c>
    </row>
    <row r="28" spans="1:10" ht="28.5">
      <c r="B28" s="60" t="s">
        <v>1888</v>
      </c>
      <c r="C28" s="60" t="s">
        <v>1957</v>
      </c>
      <c r="D28" s="60" t="s">
        <v>2280</v>
      </c>
      <c r="E28" s="46" t="s">
        <v>2421</v>
      </c>
      <c r="F28" s="46" t="s">
        <v>2420</v>
      </c>
      <c r="G28" s="194" t="s">
        <v>2303</v>
      </c>
    </row>
    <row r="29" spans="1:10">
      <c r="C29" s="60" t="s">
        <v>2276</v>
      </c>
      <c r="D29" s="60" t="s">
        <v>2281</v>
      </c>
      <c r="E29" s="46" t="s">
        <v>2422</v>
      </c>
    </row>
    <row r="30" spans="1:10">
      <c r="D30" s="46" t="s">
        <v>374</v>
      </c>
      <c r="E30" s="46" t="s">
        <v>2423</v>
      </c>
    </row>
    <row r="31" spans="1:10">
      <c r="D31" s="46" t="s">
        <v>2282</v>
      </c>
      <c r="E31" s="46" t="s">
        <v>2424</v>
      </c>
    </row>
    <row r="32" spans="1:10">
      <c r="D32" s="46" t="s">
        <v>2283</v>
      </c>
      <c r="E32" s="46" t="s">
        <v>2425</v>
      </c>
    </row>
    <row r="33" spans="2:5">
      <c r="E33" s="46" t="s">
        <v>2426</v>
      </c>
    </row>
    <row r="35" spans="2:5" ht="42.75">
      <c r="B35" s="149" t="s">
        <v>2401</v>
      </c>
      <c r="C35" s="46" t="s">
        <v>2416</v>
      </c>
    </row>
    <row r="36" spans="2:5">
      <c r="B36" s="60" t="s">
        <v>2402</v>
      </c>
      <c r="C36" s="46" t="s">
        <v>371</v>
      </c>
    </row>
    <row r="37" spans="2:5">
      <c r="B37" s="60" t="s">
        <v>1756</v>
      </c>
      <c r="C37" s="46" t="s">
        <v>1398</v>
      </c>
    </row>
    <row r="38" spans="2:5">
      <c r="B38" s="60" t="s">
        <v>1037</v>
      </c>
      <c r="C38" s="46" t="s">
        <v>371</v>
      </c>
    </row>
    <row r="39" spans="2:5" ht="17.25">
      <c r="B39" s="149" t="s">
        <v>2403</v>
      </c>
      <c r="C39" s="46" t="s">
        <v>1338</v>
      </c>
    </row>
    <row r="40" spans="2:5">
      <c r="B40" s="60" t="s">
        <v>1914</v>
      </c>
      <c r="C40" s="46" t="s">
        <v>371</v>
      </c>
    </row>
    <row r="41" spans="2:5">
      <c r="B41" s="60" t="s">
        <v>2404</v>
      </c>
      <c r="C41" s="46" t="s">
        <v>1031</v>
      </c>
    </row>
    <row r="42" spans="2:5">
      <c r="B42" s="60" t="s">
        <v>2405</v>
      </c>
      <c r="C42" s="46" t="s">
        <v>371</v>
      </c>
    </row>
    <row r="43" spans="2:5">
      <c r="B43" s="60" t="s">
        <v>1155</v>
      </c>
      <c r="C43" s="46" t="s">
        <v>2415</v>
      </c>
    </row>
    <row r="44" spans="2:5" ht="17.25">
      <c r="B44" s="149" t="s">
        <v>2406</v>
      </c>
    </row>
    <row r="45" spans="2:5" ht="28.5">
      <c r="B45" s="46" t="s">
        <v>2407</v>
      </c>
    </row>
    <row r="46" spans="2:5">
      <c r="B46" s="46" t="s">
        <v>1886</v>
      </c>
    </row>
    <row r="47" spans="2:5">
      <c r="B47" s="46" t="s">
        <v>2408</v>
      </c>
    </row>
    <row r="48" spans="2:5">
      <c r="B48" s="60" t="s">
        <v>2409</v>
      </c>
      <c r="D48" s="46"/>
    </row>
    <row r="49" spans="2:4">
      <c r="B49" s="60" t="s">
        <v>1944</v>
      </c>
    </row>
    <row r="50" spans="2:4">
      <c r="B50" s="60" t="s">
        <v>1155</v>
      </c>
      <c r="D50" s="46"/>
    </row>
    <row r="51" spans="2:4">
      <c r="B51" s="60" t="s">
        <v>2410</v>
      </c>
    </row>
    <row r="52" spans="2:4">
      <c r="B52" s="46" t="s">
        <v>2411</v>
      </c>
    </row>
    <row r="53" spans="2:4" ht="28.5">
      <c r="B53" s="46" t="s">
        <v>2412</v>
      </c>
    </row>
    <row r="54" spans="2:4">
      <c r="B54" s="46" t="s">
        <v>2413</v>
      </c>
    </row>
    <row r="55" spans="2:4">
      <c r="B55" s="46" t="s">
        <v>2414</v>
      </c>
    </row>
  </sheetData>
  <mergeCells count="1">
    <mergeCell ref="B22:J2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C75D7-FBCA-4D92-8724-EAAC44FE7285}">
  <sheetPr>
    <tabColor rgb="FFFF0000"/>
  </sheetPr>
  <dimension ref="B1:U69"/>
  <sheetViews>
    <sheetView workbookViewId="0">
      <selection activeCell="O4" sqref="O4"/>
    </sheetView>
  </sheetViews>
  <sheetFormatPr defaultRowHeight="14.25" zeroHeight="1"/>
  <cols>
    <col min="1" max="1" width="5.625" style="1" customWidth="1"/>
    <col min="2" max="2" width="9" style="1"/>
    <col min="3" max="12" width="13.75" style="1" customWidth="1"/>
    <col min="13" max="13" width="10.875" style="1" customWidth="1"/>
    <col min="14" max="16" width="12" style="1" customWidth="1"/>
    <col min="17" max="17" width="10.875" style="1" customWidth="1"/>
    <col min="18" max="20" width="11.875" style="1" customWidth="1"/>
    <col min="21" max="21" width="11.625" style="1" bestFit="1" customWidth="1"/>
    <col min="22" max="16384" width="9" style="1"/>
  </cols>
  <sheetData>
    <row r="1" spans="2:21"/>
    <row r="2" spans="2:21" ht="28.5" customHeight="1">
      <c r="B2" s="136"/>
      <c r="C2" s="245" t="s">
        <v>0</v>
      </c>
      <c r="D2" s="246"/>
      <c r="E2" s="245" t="s">
        <v>1</v>
      </c>
      <c r="F2" s="246"/>
      <c r="G2" s="47" t="s">
        <v>203</v>
      </c>
      <c r="H2" s="245" t="s">
        <v>204</v>
      </c>
      <c r="I2" s="246"/>
      <c r="K2" s="134" t="s">
        <v>2</v>
      </c>
      <c r="L2" s="134" t="s">
        <v>3</v>
      </c>
      <c r="M2" s="245" t="s">
        <v>4</v>
      </c>
      <c r="N2" s="258"/>
      <c r="O2" s="258"/>
      <c r="P2" s="258"/>
      <c r="Q2" s="246"/>
      <c r="R2" s="249" t="s">
        <v>5</v>
      </c>
      <c r="S2" s="249"/>
      <c r="T2" s="249"/>
      <c r="U2" s="135" t="s">
        <v>205</v>
      </c>
    </row>
    <row r="3" spans="2:21" ht="42.75" customHeight="1">
      <c r="B3" s="2" t="s">
        <v>6</v>
      </c>
      <c r="C3" s="259"/>
      <c r="D3" s="260"/>
      <c r="E3" s="3">
        <v>46188</v>
      </c>
      <c r="F3" s="2" t="s">
        <v>7</v>
      </c>
      <c r="G3" s="4" t="s">
        <v>8</v>
      </c>
      <c r="H3" s="259" t="s">
        <v>9</v>
      </c>
      <c r="I3" s="260"/>
      <c r="K3" s="5" t="s">
        <v>10</v>
      </c>
      <c r="L3" s="2" t="s">
        <v>11</v>
      </c>
      <c r="M3" s="261" t="s">
        <v>12</v>
      </c>
      <c r="N3" s="262"/>
      <c r="O3" s="262"/>
      <c r="P3" s="262"/>
      <c r="Q3" s="263"/>
      <c r="R3" s="261" t="s">
        <v>13</v>
      </c>
      <c r="S3" s="262"/>
      <c r="T3" s="263"/>
      <c r="U3" s="49" t="s">
        <v>14</v>
      </c>
    </row>
    <row r="4" spans="2:21" ht="42.75">
      <c r="B4" s="2" t="s">
        <v>15</v>
      </c>
      <c r="C4" s="264" t="s">
        <v>16</v>
      </c>
      <c r="D4" s="265"/>
      <c r="E4" s="4" t="s">
        <v>17</v>
      </c>
      <c r="F4" s="2">
        <v>70</v>
      </c>
      <c r="G4" s="4" t="s">
        <v>18</v>
      </c>
      <c r="H4" s="259" t="s">
        <v>19</v>
      </c>
      <c r="I4" s="260"/>
      <c r="K4" s="2"/>
      <c r="L4" s="2"/>
      <c r="M4" s="6">
        <v>151</v>
      </c>
      <c r="N4" s="6">
        <v>191</v>
      </c>
      <c r="O4" s="6">
        <v>191</v>
      </c>
      <c r="P4" s="6">
        <v>268</v>
      </c>
      <c r="Q4" s="6">
        <v>191</v>
      </c>
      <c r="R4" s="7">
        <v>1140</v>
      </c>
      <c r="S4" s="7">
        <v>1140</v>
      </c>
      <c r="T4" s="7">
        <v>1490</v>
      </c>
      <c r="U4" s="2"/>
    </row>
    <row r="5" spans="2:21">
      <c r="B5" s="2" t="s">
        <v>20</v>
      </c>
      <c r="C5" s="261"/>
      <c r="D5" s="263"/>
      <c r="E5" s="2"/>
      <c r="F5" s="2"/>
      <c r="G5" s="8"/>
      <c r="H5" s="261" t="s">
        <v>21</v>
      </c>
      <c r="I5" s="263"/>
      <c r="K5" s="8"/>
      <c r="L5" s="8"/>
      <c r="M5" s="8"/>
      <c r="N5" s="8"/>
      <c r="O5" s="8"/>
      <c r="P5" s="8"/>
      <c r="Q5" s="8"/>
      <c r="R5" s="2"/>
      <c r="S5" s="2"/>
      <c r="T5" s="2"/>
      <c r="U5" s="2"/>
    </row>
    <row r="6" spans="2:21" s="15" customFormat="1" ht="60" customHeight="1">
      <c r="B6" s="266" t="s">
        <v>22</v>
      </c>
      <c r="C6" s="9">
        <v>46263</v>
      </c>
      <c r="D6" s="9">
        <v>46264</v>
      </c>
      <c r="E6" s="9">
        <v>46277</v>
      </c>
      <c r="F6" s="10">
        <v>46313</v>
      </c>
      <c r="G6" s="11">
        <v>46270</v>
      </c>
      <c r="H6" s="11">
        <v>46340</v>
      </c>
      <c r="I6" s="11">
        <v>46341</v>
      </c>
      <c r="K6" s="12">
        <v>46355</v>
      </c>
      <c r="L6" s="12" t="s">
        <v>23</v>
      </c>
      <c r="M6" s="13"/>
      <c r="N6" s="13"/>
      <c r="O6" s="13"/>
      <c r="P6" s="13"/>
      <c r="Q6" s="13"/>
      <c r="R6" s="14" t="s">
        <v>24</v>
      </c>
      <c r="S6" s="14" t="s">
        <v>25</v>
      </c>
      <c r="T6" s="14" t="s">
        <v>26</v>
      </c>
      <c r="U6" s="14" t="s">
        <v>208</v>
      </c>
    </row>
    <row r="7" spans="2:21" ht="28.5">
      <c r="B7" s="266"/>
      <c r="C7" s="8" t="s">
        <v>27</v>
      </c>
      <c r="D7" s="8" t="s">
        <v>28</v>
      </c>
      <c r="E7" s="16" t="s">
        <v>29</v>
      </c>
      <c r="F7" s="16" t="s">
        <v>30</v>
      </c>
      <c r="G7" s="16" t="s">
        <v>31</v>
      </c>
      <c r="H7" s="16" t="s">
        <v>32</v>
      </c>
      <c r="I7" s="16" t="s">
        <v>33</v>
      </c>
      <c r="K7" s="8" t="s">
        <v>34</v>
      </c>
      <c r="L7" s="8" t="s">
        <v>34</v>
      </c>
      <c r="M7" s="267" t="s">
        <v>35</v>
      </c>
      <c r="N7" s="267" t="s">
        <v>36</v>
      </c>
      <c r="O7" s="267" t="s">
        <v>37</v>
      </c>
      <c r="P7" s="267" t="s">
        <v>38</v>
      </c>
      <c r="Q7" s="267" t="s">
        <v>39</v>
      </c>
      <c r="R7" s="2" t="s">
        <v>40</v>
      </c>
      <c r="S7" s="2" t="s">
        <v>41</v>
      </c>
      <c r="T7" s="2" t="s">
        <v>42</v>
      </c>
      <c r="U7" s="2" t="s">
        <v>43</v>
      </c>
    </row>
    <row r="8" spans="2:21" ht="47.25" customHeight="1">
      <c r="B8" s="266"/>
      <c r="C8" s="8" t="s">
        <v>45</v>
      </c>
      <c r="D8" s="8" t="s">
        <v>46</v>
      </c>
      <c r="E8" s="8" t="s">
        <v>47</v>
      </c>
      <c r="F8" s="267" t="s">
        <v>48</v>
      </c>
      <c r="G8" s="16" t="s">
        <v>49</v>
      </c>
      <c r="H8" s="16" t="s">
        <v>50</v>
      </c>
      <c r="I8" s="16" t="s">
        <v>51</v>
      </c>
      <c r="K8" s="8" t="s">
        <v>52</v>
      </c>
      <c r="L8" s="8" t="s">
        <v>52</v>
      </c>
      <c r="M8" s="268"/>
      <c r="N8" s="268"/>
      <c r="O8" s="268"/>
      <c r="P8" s="268"/>
      <c r="Q8" s="268"/>
      <c r="R8" s="270" t="s">
        <v>53</v>
      </c>
      <c r="S8" s="270" t="s">
        <v>54</v>
      </c>
      <c r="T8" s="270" t="s">
        <v>55</v>
      </c>
      <c r="U8" s="2" t="s">
        <v>44</v>
      </c>
    </row>
    <row r="9" spans="2:21" ht="42.75">
      <c r="B9" s="266"/>
      <c r="C9" s="8" t="s">
        <v>56</v>
      </c>
      <c r="D9" s="8" t="s">
        <v>57</v>
      </c>
      <c r="E9" s="8" t="s">
        <v>58</v>
      </c>
      <c r="F9" s="269"/>
      <c r="G9" s="16" t="s">
        <v>59</v>
      </c>
      <c r="H9" s="16" t="s">
        <v>60</v>
      </c>
      <c r="I9" s="16"/>
      <c r="K9" s="8"/>
      <c r="L9" s="8"/>
      <c r="M9" s="269"/>
      <c r="N9" s="269"/>
      <c r="O9" s="269"/>
      <c r="P9" s="269"/>
      <c r="Q9" s="269"/>
      <c r="R9" s="271"/>
      <c r="S9" s="271"/>
      <c r="T9" s="271"/>
      <c r="U9" s="2"/>
    </row>
    <row r="10" spans="2:21">
      <c r="B10" s="2" t="s">
        <v>61</v>
      </c>
      <c r="C10" s="261" t="s">
        <v>62</v>
      </c>
      <c r="D10" s="263"/>
      <c r="E10" s="2" t="s">
        <v>63</v>
      </c>
      <c r="F10" s="2" t="s">
        <v>64</v>
      </c>
      <c r="G10" s="2" t="s">
        <v>65</v>
      </c>
      <c r="H10" s="261" t="s">
        <v>66</v>
      </c>
      <c r="I10" s="263"/>
      <c r="K10" s="2"/>
      <c r="L10" s="2"/>
      <c r="M10" s="2"/>
      <c r="N10" s="2"/>
      <c r="O10" s="2"/>
      <c r="P10" s="2"/>
      <c r="Q10" s="2"/>
      <c r="R10" s="261" t="s">
        <v>67</v>
      </c>
      <c r="S10" s="262"/>
      <c r="T10" s="263"/>
      <c r="U10" s="2"/>
    </row>
    <row r="11" spans="2:21">
      <c r="B11" s="2" t="s">
        <v>68</v>
      </c>
      <c r="C11" s="261" t="s">
        <v>69</v>
      </c>
      <c r="D11" s="263"/>
      <c r="E11" s="5">
        <v>46289</v>
      </c>
      <c r="F11" s="5">
        <v>46356</v>
      </c>
      <c r="G11" s="5">
        <v>46325</v>
      </c>
      <c r="H11" s="261" t="s">
        <v>70</v>
      </c>
      <c r="I11" s="263"/>
      <c r="K11" s="2" t="s">
        <v>11</v>
      </c>
      <c r="L11" s="2" t="s">
        <v>71</v>
      </c>
      <c r="M11" s="2"/>
      <c r="N11" s="2"/>
      <c r="O11" s="2"/>
      <c r="P11" s="2"/>
      <c r="Q11" s="2"/>
      <c r="R11" s="2" t="s">
        <v>72</v>
      </c>
      <c r="S11" s="2" t="s">
        <v>73</v>
      </c>
      <c r="T11" s="2" t="s">
        <v>74</v>
      </c>
      <c r="U11" s="2"/>
    </row>
    <row r="12" spans="2:21" ht="72.75" customHeight="1">
      <c r="B12" s="2" t="s">
        <v>75</v>
      </c>
      <c r="C12" s="261" t="s">
        <v>201</v>
      </c>
      <c r="D12" s="263"/>
      <c r="E12" s="261" t="s">
        <v>202</v>
      </c>
      <c r="F12" s="263"/>
      <c r="G12" s="261" t="s">
        <v>1835</v>
      </c>
      <c r="H12" s="262"/>
      <c r="I12" s="263"/>
      <c r="K12" s="2" t="s">
        <v>209</v>
      </c>
      <c r="L12" s="2"/>
      <c r="M12" s="261" t="s">
        <v>206</v>
      </c>
      <c r="N12" s="262"/>
      <c r="O12" s="262"/>
      <c r="P12" s="262"/>
      <c r="Q12" s="263"/>
      <c r="R12" s="261" t="s">
        <v>207</v>
      </c>
      <c r="S12" s="262"/>
      <c r="T12" s="263"/>
      <c r="U12" s="138"/>
    </row>
    <row r="13" spans="2:21"/>
    <row r="14" spans="2:21">
      <c r="B14" s="17" t="s">
        <v>76</v>
      </c>
      <c r="C14" s="18"/>
      <c r="D14" s="19"/>
      <c r="E14" s="19"/>
    </row>
    <row r="15" spans="2:21">
      <c r="B15" s="20" t="s">
        <v>77</v>
      </c>
      <c r="C15" s="20" t="s">
        <v>78</v>
      </c>
      <c r="D15" s="20" t="s">
        <v>79</v>
      </c>
      <c r="E15" s="273" t="s">
        <v>80</v>
      </c>
      <c r="F15" s="273"/>
      <c r="G15" s="273"/>
    </row>
    <row r="16" spans="2:21" ht="30.75" customHeight="1">
      <c r="B16" s="20" t="s">
        <v>81</v>
      </c>
      <c r="C16" s="20" t="s">
        <v>82</v>
      </c>
      <c r="D16" s="20" t="s">
        <v>83</v>
      </c>
      <c r="E16" s="274" t="s">
        <v>84</v>
      </c>
      <c r="F16" s="274"/>
      <c r="G16" s="274"/>
    </row>
    <row r="17" spans="2:13" ht="34.5" customHeight="1">
      <c r="B17" s="20" t="s">
        <v>85</v>
      </c>
      <c r="C17" s="20" t="s">
        <v>86</v>
      </c>
      <c r="D17" s="20" t="s">
        <v>87</v>
      </c>
      <c r="E17" s="273" t="s">
        <v>88</v>
      </c>
      <c r="F17" s="273"/>
      <c r="G17" s="273"/>
    </row>
    <row r="18" spans="2:13" ht="30.75" customHeight="1">
      <c r="B18" s="20" t="s">
        <v>89</v>
      </c>
      <c r="C18" s="20" t="s">
        <v>90</v>
      </c>
      <c r="D18" s="20" t="s">
        <v>91</v>
      </c>
      <c r="E18" s="273" t="s">
        <v>92</v>
      </c>
      <c r="F18" s="273"/>
      <c r="G18" s="273"/>
    </row>
    <row r="19" spans="2:13">
      <c r="B19" s="17" t="s">
        <v>93</v>
      </c>
      <c r="C19" s="18"/>
      <c r="D19" s="21"/>
    </row>
    <row r="20" spans="2:13">
      <c r="B20" s="22" t="s">
        <v>94</v>
      </c>
      <c r="C20" s="22" t="s">
        <v>95</v>
      </c>
      <c r="D20" s="274" t="s">
        <v>96</v>
      </c>
      <c r="E20" s="274"/>
      <c r="F20" s="274"/>
      <c r="G20" s="274"/>
    </row>
    <row r="21" spans="2:13" ht="25.5" customHeight="1">
      <c r="B21" s="23" t="s">
        <v>97</v>
      </c>
      <c r="C21" s="23" t="s">
        <v>98</v>
      </c>
      <c r="D21" s="274" t="s">
        <v>99</v>
      </c>
      <c r="E21" s="274"/>
      <c r="F21" s="274"/>
      <c r="G21" s="274"/>
    </row>
    <row r="22" spans="2:13" ht="27" customHeight="1">
      <c r="B22" s="20" t="s">
        <v>100</v>
      </c>
      <c r="C22" s="20" t="s">
        <v>98</v>
      </c>
      <c r="D22" s="274" t="s">
        <v>101</v>
      </c>
      <c r="E22" s="274"/>
      <c r="F22" s="274"/>
      <c r="G22" s="274"/>
    </row>
    <row r="23" spans="2:13" ht="36.75" customHeight="1">
      <c r="B23" s="20" t="s">
        <v>102</v>
      </c>
      <c r="C23" s="20" t="s">
        <v>103</v>
      </c>
      <c r="D23" s="273" t="s">
        <v>104</v>
      </c>
      <c r="E23" s="273"/>
      <c r="F23" s="273"/>
      <c r="G23" s="273"/>
    </row>
    <row r="24" spans="2:13" ht="26.25" customHeight="1">
      <c r="B24" s="20" t="s">
        <v>105</v>
      </c>
      <c r="C24" s="20" t="s">
        <v>106</v>
      </c>
      <c r="D24" s="274" t="s">
        <v>107</v>
      </c>
      <c r="E24" s="274"/>
      <c r="F24" s="274"/>
      <c r="G24" s="274"/>
    </row>
    <row r="25" spans="2:13" ht="33" customHeight="1">
      <c r="B25" s="20" t="s">
        <v>108</v>
      </c>
      <c r="C25" s="20" t="s">
        <v>109</v>
      </c>
      <c r="D25" s="273" t="s">
        <v>110</v>
      </c>
      <c r="E25" s="273"/>
      <c r="F25" s="273"/>
      <c r="G25" s="273"/>
    </row>
    <row r="26" spans="2:13"/>
    <row r="27" spans="2:13">
      <c r="B27" s="24" t="s">
        <v>111</v>
      </c>
      <c r="C27" s="24" t="s">
        <v>112</v>
      </c>
      <c r="D27" s="25" t="s">
        <v>113</v>
      </c>
      <c r="E27" s="26"/>
      <c r="F27" s="27"/>
      <c r="G27" s="28"/>
      <c r="H27" s="28"/>
      <c r="I27" s="28"/>
      <c r="J27" s="28"/>
      <c r="K27" s="28"/>
      <c r="L27" s="28"/>
      <c r="M27" s="28"/>
    </row>
    <row r="28" spans="2:13" ht="24">
      <c r="B28" s="24" t="s">
        <v>114</v>
      </c>
      <c r="C28" s="29" t="s">
        <v>115</v>
      </c>
      <c r="D28" s="30" t="s">
        <v>116</v>
      </c>
      <c r="E28" s="31" t="s">
        <v>117</v>
      </c>
      <c r="F28" s="27"/>
      <c r="G28" s="28"/>
      <c r="H28" s="28"/>
      <c r="I28" s="28"/>
      <c r="J28" s="28"/>
      <c r="K28" s="28"/>
      <c r="L28" s="28"/>
      <c r="M28" s="28"/>
    </row>
    <row r="29" spans="2:13" ht="36">
      <c r="B29" s="24" t="s">
        <v>118</v>
      </c>
      <c r="C29" s="29" t="s">
        <v>119</v>
      </c>
      <c r="D29" s="32" t="s">
        <v>120</v>
      </c>
      <c r="E29" s="24" t="s">
        <v>121</v>
      </c>
      <c r="F29" s="29" t="s">
        <v>122</v>
      </c>
      <c r="G29" s="30" t="s">
        <v>123</v>
      </c>
      <c r="H29" s="33" t="s">
        <v>124</v>
      </c>
      <c r="I29" s="28"/>
      <c r="J29" s="28"/>
      <c r="K29" s="28"/>
      <c r="L29" s="28"/>
      <c r="M29" s="28"/>
    </row>
    <row r="30" spans="2:13" ht="36">
      <c r="B30" s="24" t="s">
        <v>125</v>
      </c>
      <c r="C30" s="29" t="s">
        <v>126</v>
      </c>
      <c r="D30" s="32" t="s">
        <v>127</v>
      </c>
      <c r="E30" s="24" t="s">
        <v>128</v>
      </c>
      <c r="F30" s="29" t="s">
        <v>129</v>
      </c>
      <c r="G30" s="30" t="s">
        <v>130</v>
      </c>
      <c r="H30" s="24" t="s">
        <v>131</v>
      </c>
      <c r="I30" s="28"/>
      <c r="J30" s="28"/>
      <c r="K30" s="28"/>
      <c r="L30" s="28"/>
      <c r="M30" s="28"/>
    </row>
    <row r="31" spans="2:13" ht="24">
      <c r="B31" s="24" t="s">
        <v>132</v>
      </c>
      <c r="C31" s="29" t="s">
        <v>133</v>
      </c>
      <c r="D31" s="32" t="s">
        <v>134</v>
      </c>
      <c r="E31" s="26"/>
      <c r="F31" s="34" t="s">
        <v>135</v>
      </c>
      <c r="G31" s="28"/>
      <c r="H31" s="28"/>
      <c r="I31" s="28"/>
      <c r="J31" s="28"/>
      <c r="K31" s="28"/>
      <c r="L31" s="28"/>
      <c r="M31" s="28"/>
    </row>
    <row r="32" spans="2:13" ht="24">
      <c r="B32" s="24" t="s">
        <v>136</v>
      </c>
      <c r="C32" s="24" t="s">
        <v>137</v>
      </c>
      <c r="D32" s="32" t="s">
        <v>138</v>
      </c>
      <c r="E32" s="26"/>
      <c r="F32" s="27"/>
      <c r="G32" s="28"/>
      <c r="H32" s="28"/>
      <c r="I32" s="28"/>
      <c r="J32" s="28"/>
      <c r="K32" s="28"/>
      <c r="L32" s="28"/>
      <c r="M32" s="28"/>
    </row>
    <row r="33" spans="2:14" ht="36">
      <c r="B33" s="24" t="s">
        <v>139</v>
      </c>
      <c r="C33" s="24" t="s">
        <v>140</v>
      </c>
      <c r="D33" s="32" t="s">
        <v>141</v>
      </c>
      <c r="E33" s="26"/>
      <c r="F33" s="34" t="s">
        <v>142</v>
      </c>
      <c r="G33" s="28"/>
      <c r="H33" s="28"/>
      <c r="I33" s="28"/>
      <c r="J33" s="28"/>
      <c r="K33" s="28"/>
      <c r="L33" s="28"/>
      <c r="M33" s="28"/>
    </row>
    <row r="34" spans="2:14" ht="24">
      <c r="B34" s="24" t="s">
        <v>143</v>
      </c>
      <c r="C34" s="24" t="s">
        <v>144</v>
      </c>
      <c r="D34" s="32" t="s">
        <v>145</v>
      </c>
      <c r="E34" s="26"/>
      <c r="F34" s="35"/>
      <c r="G34" s="28"/>
      <c r="H34" s="28"/>
      <c r="I34" s="28"/>
      <c r="J34" s="28"/>
      <c r="K34" s="28"/>
      <c r="L34" s="28"/>
      <c r="M34" s="28"/>
    </row>
    <row r="35" spans="2:14"/>
    <row r="36" spans="2:14" ht="33.75">
      <c r="B36" s="36" t="s">
        <v>146</v>
      </c>
      <c r="C36" s="18"/>
      <c r="D36" s="19"/>
      <c r="E36" s="19"/>
      <c r="F36" s="19"/>
      <c r="G36" s="37"/>
      <c r="H36" s="37"/>
      <c r="I36" s="37"/>
      <c r="J36" s="37"/>
      <c r="K36" s="37"/>
      <c r="L36" s="37"/>
      <c r="M36" s="37"/>
      <c r="N36" s="37"/>
    </row>
    <row r="37" spans="2:14" ht="45">
      <c r="B37" s="38" t="s">
        <v>147</v>
      </c>
      <c r="C37" s="38" t="s">
        <v>148</v>
      </c>
      <c r="D37" s="39"/>
      <c r="E37" s="39"/>
      <c r="F37" s="39"/>
      <c r="G37" s="40" t="s">
        <v>149</v>
      </c>
      <c r="H37" s="40" t="s">
        <v>150</v>
      </c>
      <c r="I37" s="40" t="s">
        <v>151</v>
      </c>
      <c r="J37" s="40" t="s">
        <v>152</v>
      </c>
      <c r="K37" s="40" t="s">
        <v>153</v>
      </c>
    </row>
    <row r="38" spans="2:14" ht="22.5">
      <c r="B38" s="38" t="s">
        <v>154</v>
      </c>
      <c r="C38" s="38" t="s">
        <v>155</v>
      </c>
      <c r="D38" s="39">
        <v>36257.49</v>
      </c>
      <c r="E38" s="39"/>
      <c r="F38" s="39"/>
      <c r="G38" s="37"/>
      <c r="H38" s="37"/>
      <c r="I38" s="37"/>
      <c r="J38" s="37"/>
      <c r="K38" s="37"/>
      <c r="L38" s="37"/>
      <c r="M38" s="37"/>
      <c r="N38" s="37"/>
    </row>
    <row r="39" spans="2:14" ht="22.5">
      <c r="B39" s="38" t="s">
        <v>156</v>
      </c>
      <c r="C39" s="38" t="s">
        <v>157</v>
      </c>
      <c r="D39" s="39"/>
      <c r="E39" s="39"/>
      <c r="F39" s="39"/>
      <c r="G39" s="37"/>
      <c r="H39" s="37"/>
      <c r="I39" s="37"/>
      <c r="J39" s="37"/>
      <c r="K39" s="37"/>
      <c r="L39" s="37"/>
      <c r="M39" s="37"/>
      <c r="N39" s="37"/>
    </row>
    <row r="40" spans="2:14" ht="56.25">
      <c r="B40" s="41" t="s">
        <v>158</v>
      </c>
      <c r="C40" s="38"/>
      <c r="D40" s="39"/>
      <c r="E40" s="39"/>
      <c r="F40" s="39"/>
      <c r="G40" s="37"/>
      <c r="H40" s="37"/>
      <c r="I40" s="37"/>
      <c r="J40" s="37"/>
      <c r="K40" s="37"/>
      <c r="L40" s="37"/>
      <c r="M40" s="37"/>
      <c r="N40" s="37"/>
    </row>
    <row r="41" spans="2:14" ht="33.75">
      <c r="B41" s="38" t="s">
        <v>159</v>
      </c>
      <c r="C41" s="38" t="s">
        <v>160</v>
      </c>
      <c r="D41" s="39"/>
      <c r="E41" s="39">
        <v>24133.98</v>
      </c>
      <c r="F41" s="39"/>
      <c r="G41" s="37"/>
      <c r="H41" s="37"/>
      <c r="I41" s="37"/>
      <c r="J41" s="37"/>
      <c r="K41" s="37"/>
      <c r="L41" s="37"/>
      <c r="M41" s="37"/>
      <c r="N41" s="37"/>
    </row>
    <row r="42" spans="2:14" ht="33.75">
      <c r="B42" s="38" t="s">
        <v>161</v>
      </c>
      <c r="C42" s="38" t="s">
        <v>155</v>
      </c>
      <c r="D42" s="39"/>
      <c r="E42" s="39"/>
      <c r="F42" s="39">
        <v>36257.49</v>
      </c>
      <c r="G42" s="37"/>
      <c r="H42" s="37"/>
      <c r="I42" s="37"/>
      <c r="J42" s="37"/>
      <c r="K42" s="37"/>
      <c r="L42" s="37"/>
      <c r="M42" s="37"/>
      <c r="N42" s="37"/>
    </row>
    <row r="43" spans="2:14">
      <c r="B43" s="41" t="s">
        <v>162</v>
      </c>
      <c r="C43" s="38"/>
      <c r="D43" s="39"/>
      <c r="E43" s="39"/>
      <c r="F43" s="39"/>
      <c r="G43" s="37"/>
      <c r="H43" s="37"/>
      <c r="I43" s="37"/>
      <c r="J43" s="37"/>
      <c r="K43" s="37"/>
      <c r="L43" s="37"/>
      <c r="M43" s="37"/>
      <c r="N43" s="37"/>
    </row>
    <row r="44" spans="2:14">
      <c r="B44" s="272" t="s">
        <v>163</v>
      </c>
      <c r="C44" s="272"/>
      <c r="D44" s="39"/>
      <c r="E44" s="39"/>
      <c r="F44" s="39"/>
      <c r="G44" s="37"/>
      <c r="H44" s="37"/>
      <c r="I44" s="37"/>
      <c r="J44" s="37"/>
      <c r="K44" s="37"/>
      <c r="L44" s="37"/>
      <c r="M44" s="37"/>
      <c r="N44" s="37"/>
    </row>
    <row r="45" spans="2:14" ht="22.5">
      <c r="B45" s="38" t="s">
        <v>164</v>
      </c>
      <c r="C45" s="38" t="s">
        <v>165</v>
      </c>
      <c r="D45" s="39">
        <v>9062.02</v>
      </c>
      <c r="E45" s="39"/>
      <c r="F45" s="39"/>
      <c r="G45" s="37"/>
      <c r="H45" s="37"/>
      <c r="I45" s="37"/>
      <c r="J45" s="37"/>
      <c r="K45" s="37"/>
      <c r="L45" s="37"/>
      <c r="M45" s="37"/>
      <c r="N45" s="37"/>
    </row>
    <row r="46" spans="2:14" ht="33.75">
      <c r="B46" s="38" t="s">
        <v>166</v>
      </c>
      <c r="C46" s="38" t="s">
        <v>167</v>
      </c>
      <c r="D46" s="39">
        <v>18133.45</v>
      </c>
      <c r="E46" s="39"/>
      <c r="F46" s="39"/>
      <c r="G46" s="37"/>
      <c r="H46" s="37"/>
      <c r="I46" s="37"/>
      <c r="J46" s="37"/>
      <c r="K46" s="37"/>
      <c r="L46" s="37"/>
      <c r="M46" s="37"/>
      <c r="N46" s="37"/>
    </row>
    <row r="47" spans="2:14" ht="22.5">
      <c r="B47" s="38" t="s">
        <v>168</v>
      </c>
      <c r="C47" s="38" t="s">
        <v>169</v>
      </c>
      <c r="D47" s="39"/>
      <c r="E47" s="39"/>
      <c r="F47" s="39"/>
      <c r="G47" s="37"/>
      <c r="H47" s="37"/>
      <c r="I47" s="37"/>
      <c r="J47" s="37"/>
      <c r="K47" s="37"/>
      <c r="L47" s="37"/>
      <c r="M47" s="37"/>
      <c r="N47" s="37"/>
    </row>
    <row r="48" spans="2:14" ht="33.75">
      <c r="B48" s="38" t="s">
        <v>170</v>
      </c>
      <c r="C48" s="38" t="s">
        <v>171</v>
      </c>
      <c r="D48" s="39"/>
      <c r="E48" s="39"/>
      <c r="F48" s="39"/>
      <c r="G48" s="37"/>
      <c r="H48" s="37"/>
      <c r="I48" s="37"/>
      <c r="J48" s="37"/>
      <c r="K48" s="37"/>
      <c r="L48" s="37"/>
      <c r="M48" s="37"/>
      <c r="N48" s="37"/>
    </row>
    <row r="49" spans="2:14">
      <c r="B49" s="272" t="s">
        <v>172</v>
      </c>
      <c r="C49" s="272"/>
      <c r="D49" s="39"/>
      <c r="E49" s="39"/>
      <c r="F49" s="39"/>
      <c r="G49" s="37"/>
      <c r="H49" s="37"/>
      <c r="I49" s="37"/>
      <c r="J49" s="37"/>
      <c r="K49" s="37"/>
      <c r="L49" s="37"/>
      <c r="M49" s="37"/>
      <c r="N49" s="37"/>
    </row>
    <row r="50" spans="2:14" ht="22.5">
      <c r="B50" s="38" t="s">
        <v>164</v>
      </c>
      <c r="C50" s="38" t="s">
        <v>173</v>
      </c>
      <c r="D50" s="39"/>
      <c r="E50" s="39">
        <v>6028.78</v>
      </c>
      <c r="F50" s="39"/>
      <c r="G50" s="37"/>
      <c r="H50" s="37"/>
      <c r="I50" s="37"/>
      <c r="J50" s="37"/>
      <c r="K50" s="37"/>
      <c r="L50" s="37"/>
      <c r="M50" s="37"/>
      <c r="N50" s="37"/>
    </row>
    <row r="51" spans="2:14" ht="22.5">
      <c r="B51" s="38" t="s">
        <v>174</v>
      </c>
      <c r="C51" s="38" t="s">
        <v>175</v>
      </c>
      <c r="D51" s="39"/>
      <c r="E51" s="39">
        <v>12076.41</v>
      </c>
      <c r="F51" s="39"/>
      <c r="G51" s="37"/>
      <c r="H51" s="37"/>
      <c r="I51" s="37"/>
      <c r="J51" s="37"/>
      <c r="K51" s="37"/>
      <c r="L51" s="37"/>
      <c r="M51" s="37"/>
      <c r="N51" s="37"/>
    </row>
    <row r="52" spans="2:14" ht="22.5">
      <c r="B52" s="38" t="s">
        <v>168</v>
      </c>
      <c r="C52" s="38" t="s">
        <v>176</v>
      </c>
      <c r="D52" s="39"/>
      <c r="E52" s="39"/>
      <c r="F52" s="39">
        <v>8176.54</v>
      </c>
      <c r="G52" s="37"/>
      <c r="H52" s="37"/>
      <c r="I52" s="37"/>
      <c r="J52" s="37"/>
      <c r="K52" s="37"/>
      <c r="L52" s="37"/>
      <c r="M52" s="37"/>
      <c r="N52" s="37"/>
    </row>
    <row r="53" spans="2:14" ht="22.5">
      <c r="B53" s="38" t="s">
        <v>177</v>
      </c>
      <c r="C53" s="38" t="s">
        <v>178</v>
      </c>
      <c r="D53" s="39"/>
      <c r="E53" s="39"/>
      <c r="F53" s="39">
        <v>16353.08</v>
      </c>
      <c r="G53" s="37"/>
      <c r="H53" s="37"/>
      <c r="I53" s="37"/>
      <c r="J53" s="37"/>
      <c r="K53" s="37"/>
      <c r="L53" s="37"/>
      <c r="M53" s="37"/>
      <c r="N53" s="37"/>
    </row>
    <row r="54" spans="2:14">
      <c r="B54" s="18"/>
      <c r="C54" s="18"/>
      <c r="D54" s="19">
        <f>D38+D45*2+D46</f>
        <v>72514.98</v>
      </c>
      <c r="E54" s="19">
        <f>E41+E50*2+E51</f>
        <v>48267.95</v>
      </c>
      <c r="F54" s="19">
        <f>F42+F52*2+F53</f>
        <v>68963.649999999994</v>
      </c>
      <c r="G54" s="37"/>
      <c r="H54" s="37"/>
      <c r="I54" s="37"/>
      <c r="J54" s="37"/>
      <c r="K54" s="37"/>
      <c r="L54" s="37"/>
      <c r="M54" s="37"/>
      <c r="N54" s="37"/>
    </row>
    <row r="55" spans="2:14">
      <c r="B55" s="37"/>
      <c r="C55" s="37"/>
      <c r="D55" s="42"/>
      <c r="E55" s="42"/>
      <c r="F55" s="42"/>
      <c r="G55" s="37"/>
      <c r="H55" s="37"/>
      <c r="I55" s="37"/>
      <c r="J55" s="37"/>
      <c r="K55" s="37"/>
      <c r="L55" s="37"/>
      <c r="M55" s="37"/>
      <c r="N55" s="37"/>
    </row>
    <row r="56" spans="2:14">
      <c r="B56" s="1" t="s">
        <v>210</v>
      </c>
    </row>
    <row r="57" spans="2:14" ht="24">
      <c r="B57" s="43" t="s">
        <v>179</v>
      </c>
      <c r="C57" s="43" t="s">
        <v>180</v>
      </c>
      <c r="D57" s="43" t="s">
        <v>181</v>
      </c>
      <c r="E57" s="44">
        <v>14</v>
      </c>
      <c r="F57" s="45">
        <f>E57*0.9</f>
        <v>12.6</v>
      </c>
    </row>
    <row r="58" spans="2:14" ht="36">
      <c r="B58" s="43" t="s">
        <v>182</v>
      </c>
      <c r="C58" s="43" t="s">
        <v>183</v>
      </c>
      <c r="D58" s="44"/>
      <c r="E58" s="44">
        <v>8</v>
      </c>
      <c r="F58" s="45">
        <f>E58*0.9</f>
        <v>7.2</v>
      </c>
    </row>
    <row r="59" spans="2:14" ht="24">
      <c r="B59" s="43" t="s">
        <v>184</v>
      </c>
      <c r="C59" s="43" t="s">
        <v>185</v>
      </c>
      <c r="D59" s="44"/>
      <c r="E59" s="44">
        <v>12</v>
      </c>
      <c r="F59" s="45">
        <f>E59*0.9</f>
        <v>10.8</v>
      </c>
    </row>
    <row r="60" spans="2:14" ht="36">
      <c r="B60" s="43" t="s">
        <v>186</v>
      </c>
      <c r="C60" s="43" t="s">
        <v>183</v>
      </c>
      <c r="D60" s="44"/>
      <c r="E60" s="44">
        <v>8</v>
      </c>
      <c r="F60" s="45">
        <f>E60*0.9</f>
        <v>7.2</v>
      </c>
    </row>
    <row r="61" spans="2:14" ht="24">
      <c r="B61" s="43" t="s">
        <v>187</v>
      </c>
      <c r="C61" s="43" t="s">
        <v>183</v>
      </c>
      <c r="D61" s="43" t="s">
        <v>188</v>
      </c>
      <c r="E61" s="44">
        <v>8</v>
      </c>
      <c r="F61" s="45">
        <f>E61*0.65</f>
        <v>5.2</v>
      </c>
    </row>
    <row r="62" spans="2:14" ht="36">
      <c r="B62" s="43" t="s">
        <v>189</v>
      </c>
      <c r="C62" s="43" t="s">
        <v>185</v>
      </c>
      <c r="D62" s="44"/>
      <c r="E62" s="44">
        <v>12</v>
      </c>
      <c r="F62" s="45">
        <f>E62*0.65</f>
        <v>7.8000000000000007</v>
      </c>
    </row>
    <row r="63" spans="2:14" ht="24">
      <c r="B63" s="43" t="s">
        <v>190</v>
      </c>
      <c r="C63" s="43" t="s">
        <v>191</v>
      </c>
      <c r="D63" s="43" t="s">
        <v>192</v>
      </c>
      <c r="E63" s="44">
        <v>6</v>
      </c>
      <c r="F63" s="45">
        <f>E63*0.3</f>
        <v>1.7999999999999998</v>
      </c>
    </row>
    <row r="64" spans="2:14" ht="48">
      <c r="B64" s="43" t="s">
        <v>193</v>
      </c>
      <c r="C64" s="43" t="s">
        <v>194</v>
      </c>
      <c r="D64" s="44"/>
      <c r="E64" s="44">
        <v>7</v>
      </c>
      <c r="F64" s="45">
        <f>E64*0.3</f>
        <v>2.1</v>
      </c>
    </row>
    <row r="65" spans="2:6" ht="48">
      <c r="B65" s="43" t="s">
        <v>195</v>
      </c>
      <c r="C65" s="43" t="s">
        <v>196</v>
      </c>
      <c r="D65" s="43" t="s">
        <v>197</v>
      </c>
      <c r="E65" s="44">
        <v>8</v>
      </c>
      <c r="F65" s="45">
        <v>0</v>
      </c>
    </row>
    <row r="66" spans="2:6" ht="24">
      <c r="B66" s="43" t="s">
        <v>198</v>
      </c>
      <c r="C66" s="43" t="s">
        <v>199</v>
      </c>
      <c r="D66" s="44"/>
      <c r="E66" s="44">
        <v>17</v>
      </c>
      <c r="F66" s="45">
        <v>0</v>
      </c>
    </row>
    <row r="67" spans="2:6">
      <c r="B67" s="45"/>
      <c r="C67" s="45"/>
      <c r="D67" s="45"/>
      <c r="E67" s="45"/>
      <c r="F67" s="45"/>
    </row>
    <row r="68" spans="2:6"/>
    <row r="69" spans="2:6"/>
  </sheetData>
  <mergeCells count="45">
    <mergeCell ref="C12:D12"/>
    <mergeCell ref="E12:F12"/>
    <mergeCell ref="B44:C44"/>
    <mergeCell ref="B49:C49"/>
    <mergeCell ref="E15:G15"/>
    <mergeCell ref="E16:G16"/>
    <mergeCell ref="E17:G17"/>
    <mergeCell ref="E18:G18"/>
    <mergeCell ref="D20:G20"/>
    <mergeCell ref="D21:G21"/>
    <mergeCell ref="D22:G22"/>
    <mergeCell ref="D23:G23"/>
    <mergeCell ref="D24:G24"/>
    <mergeCell ref="D25:G25"/>
    <mergeCell ref="C10:D10"/>
    <mergeCell ref="H10:I10"/>
    <mergeCell ref="R10:T10"/>
    <mergeCell ref="C11:D11"/>
    <mergeCell ref="H11:I11"/>
    <mergeCell ref="M12:Q12"/>
    <mergeCell ref="R12:T12"/>
    <mergeCell ref="P7:P9"/>
    <mergeCell ref="Q7:Q9"/>
    <mergeCell ref="F8:F9"/>
    <mergeCell ref="R8:R9"/>
    <mergeCell ref="S8:S9"/>
    <mergeCell ref="T8:T9"/>
    <mergeCell ref="O7:O9"/>
    <mergeCell ref="G12:I12"/>
    <mergeCell ref="C5:D5"/>
    <mergeCell ref="H5:I5"/>
    <mergeCell ref="B6:B9"/>
    <mergeCell ref="M7:M9"/>
    <mergeCell ref="N7:N9"/>
    <mergeCell ref="C3:D3"/>
    <mergeCell ref="H3:I3"/>
    <mergeCell ref="M3:Q3"/>
    <mergeCell ref="R3:T3"/>
    <mergeCell ref="C4:D4"/>
    <mergeCell ref="H4:I4"/>
    <mergeCell ref="C2:D2"/>
    <mergeCell ref="E2:F2"/>
    <mergeCell ref="H2:I2"/>
    <mergeCell ref="M2:Q2"/>
    <mergeCell ref="R2:T2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9F9AA-AE3C-4400-8924-EB3F244031B2}">
  <sheetPr>
    <tabColor rgb="FFFF0000"/>
  </sheetPr>
  <dimension ref="B2:N33"/>
  <sheetViews>
    <sheetView workbookViewId="0">
      <selection activeCell="F8" sqref="F8"/>
    </sheetView>
  </sheetViews>
  <sheetFormatPr defaultRowHeight="14.25"/>
  <cols>
    <col min="1" max="1" width="2.25" customWidth="1"/>
    <col min="2" max="2" width="12.875" customWidth="1"/>
    <col min="3" max="3" width="16.625" customWidth="1"/>
    <col min="4" max="4" width="19.875" customWidth="1"/>
    <col min="5" max="5" width="3.125" customWidth="1"/>
    <col min="6" max="6" width="15" customWidth="1"/>
    <col min="7" max="7" width="19.125" customWidth="1"/>
    <col min="8" max="8" width="23.625" customWidth="1"/>
    <col min="9" max="9" width="3.875" customWidth="1"/>
    <col min="10" max="10" width="25" style="85" customWidth="1"/>
    <col min="11" max="11" width="3.875" customWidth="1"/>
    <col min="12" max="12" width="15.25" customWidth="1"/>
    <col min="13" max="13" width="15.25" style="51" customWidth="1"/>
    <col min="14" max="14" width="15.25" customWidth="1"/>
  </cols>
  <sheetData>
    <row r="2" spans="2:14">
      <c r="B2" s="275" t="s">
        <v>920</v>
      </c>
      <c r="C2" s="276"/>
      <c r="D2" s="277"/>
      <c r="E2" s="84"/>
      <c r="F2" s="275" t="s">
        <v>921</v>
      </c>
      <c r="G2" s="276"/>
      <c r="H2" s="277"/>
      <c r="J2" s="86" t="s">
        <v>982</v>
      </c>
      <c r="L2" s="78" t="s">
        <v>945</v>
      </c>
      <c r="M2" s="78" t="s">
        <v>967</v>
      </c>
      <c r="N2" s="78" t="s">
        <v>968</v>
      </c>
    </row>
    <row r="3" spans="2:14" ht="28.5">
      <c r="B3" s="72"/>
      <c r="C3" s="71" t="s">
        <v>560</v>
      </c>
      <c r="D3" s="72"/>
      <c r="F3" s="71" t="s">
        <v>878</v>
      </c>
      <c r="G3" s="71" t="s">
        <v>879</v>
      </c>
      <c r="H3" s="72" t="s">
        <v>880</v>
      </c>
      <c r="J3" s="87" t="s">
        <v>969</v>
      </c>
      <c r="L3" s="83" t="s">
        <v>945</v>
      </c>
      <c r="M3" s="81" t="s">
        <v>922</v>
      </c>
      <c r="N3" s="79" t="s">
        <v>959</v>
      </c>
    </row>
    <row r="4" spans="2:14" ht="42.75">
      <c r="B4" s="73" t="s">
        <v>810</v>
      </c>
      <c r="C4" s="103" t="s">
        <v>811</v>
      </c>
      <c r="D4" s="72" t="s">
        <v>812</v>
      </c>
      <c r="F4" s="71"/>
      <c r="G4" s="71" t="s">
        <v>881</v>
      </c>
      <c r="H4" s="72" t="s">
        <v>882</v>
      </c>
      <c r="J4" s="87" t="s">
        <v>970</v>
      </c>
      <c r="L4" s="105" t="s">
        <v>946</v>
      </c>
      <c r="M4" s="81" t="s">
        <v>984</v>
      </c>
      <c r="N4" s="106" t="s">
        <v>960</v>
      </c>
    </row>
    <row r="5" spans="2:14" ht="71.25">
      <c r="B5" s="73" t="s">
        <v>813</v>
      </c>
      <c r="C5" s="103" t="s">
        <v>814</v>
      </c>
      <c r="D5" s="72" t="s">
        <v>815</v>
      </c>
      <c r="F5" s="71" t="s">
        <v>919</v>
      </c>
      <c r="G5" s="103" t="s">
        <v>883</v>
      </c>
      <c r="H5" s="72" t="s">
        <v>884</v>
      </c>
      <c r="J5" s="103" t="s">
        <v>971</v>
      </c>
      <c r="L5" s="105" t="s">
        <v>947</v>
      </c>
      <c r="M5" s="107" t="s">
        <v>927</v>
      </c>
      <c r="N5" s="106" t="s">
        <v>961</v>
      </c>
    </row>
    <row r="6" spans="2:14" ht="28.5">
      <c r="B6" s="73" t="s">
        <v>816</v>
      </c>
      <c r="C6" s="103" t="s">
        <v>817</v>
      </c>
      <c r="D6" s="72" t="s">
        <v>818</v>
      </c>
      <c r="F6" s="71"/>
      <c r="G6" s="103" t="s">
        <v>885</v>
      </c>
      <c r="H6" s="72" t="s">
        <v>886</v>
      </c>
      <c r="J6" s="103" t="s">
        <v>972</v>
      </c>
      <c r="L6" s="83" t="s">
        <v>948</v>
      </c>
      <c r="M6" s="107" t="s">
        <v>926</v>
      </c>
      <c r="N6" s="79" t="s">
        <v>962</v>
      </c>
    </row>
    <row r="7" spans="2:14" ht="42.75">
      <c r="B7" s="73"/>
      <c r="C7" s="103" t="s">
        <v>819</v>
      </c>
      <c r="D7" s="72" t="s">
        <v>820</v>
      </c>
      <c r="F7" s="71"/>
      <c r="G7" s="103" t="s">
        <v>887</v>
      </c>
      <c r="H7" s="72" t="s">
        <v>888</v>
      </c>
      <c r="J7" s="104" t="s">
        <v>973</v>
      </c>
      <c r="L7" s="83" t="s">
        <v>949</v>
      </c>
      <c r="M7" s="107" t="s">
        <v>924</v>
      </c>
      <c r="N7" s="79" t="s">
        <v>963</v>
      </c>
    </row>
    <row r="8" spans="2:14" ht="85.5">
      <c r="B8" s="73" t="s">
        <v>821</v>
      </c>
      <c r="C8" s="103" t="s">
        <v>822</v>
      </c>
      <c r="D8" s="72" t="s">
        <v>823</v>
      </c>
      <c r="F8" s="71" t="s">
        <v>918</v>
      </c>
      <c r="G8" s="103" t="s">
        <v>889</v>
      </c>
      <c r="H8" s="72" t="s">
        <v>890</v>
      </c>
      <c r="J8" s="104" t="s">
        <v>974</v>
      </c>
      <c r="L8" s="83" t="s">
        <v>950</v>
      </c>
      <c r="M8" s="106" t="s">
        <v>941</v>
      </c>
      <c r="N8" s="79" t="s">
        <v>964</v>
      </c>
    </row>
    <row r="9" spans="2:14" ht="57">
      <c r="B9" s="73"/>
      <c r="C9" s="103" t="s">
        <v>824</v>
      </c>
      <c r="D9" s="72" t="s">
        <v>825</v>
      </c>
      <c r="F9" s="71"/>
      <c r="G9" s="103" t="s">
        <v>891</v>
      </c>
      <c r="H9" s="72" t="s">
        <v>892</v>
      </c>
      <c r="J9" s="104" t="s">
        <v>975</v>
      </c>
      <c r="L9" s="83" t="s">
        <v>951</v>
      </c>
      <c r="M9" s="107" t="s">
        <v>925</v>
      </c>
      <c r="N9" s="79" t="s">
        <v>965</v>
      </c>
    </row>
    <row r="10" spans="2:14" ht="42.75">
      <c r="B10" s="73"/>
      <c r="C10" s="103" t="s">
        <v>826</v>
      </c>
      <c r="D10" s="72" t="s">
        <v>827</v>
      </c>
      <c r="F10" s="71" t="s">
        <v>893</v>
      </c>
      <c r="G10" s="103" t="s">
        <v>894</v>
      </c>
      <c r="H10" s="72" t="s">
        <v>983</v>
      </c>
      <c r="J10" s="104" t="s">
        <v>976</v>
      </c>
      <c r="L10" s="83" t="s">
        <v>952</v>
      </c>
      <c r="M10" s="82" t="s">
        <v>930</v>
      </c>
      <c r="N10" s="79" t="s">
        <v>966</v>
      </c>
    </row>
    <row r="11" spans="2:14" ht="25.5">
      <c r="B11" s="72" t="s">
        <v>828</v>
      </c>
      <c r="C11" s="103" t="s">
        <v>829</v>
      </c>
      <c r="D11" s="72" t="s">
        <v>830</v>
      </c>
      <c r="F11" s="71"/>
      <c r="G11" s="103" t="s">
        <v>895</v>
      </c>
      <c r="H11" s="72" t="s">
        <v>896</v>
      </c>
      <c r="J11" s="87" t="s">
        <v>977</v>
      </c>
      <c r="L11" s="83" t="s">
        <v>953</v>
      </c>
      <c r="M11" s="80" t="s">
        <v>931</v>
      </c>
    </row>
    <row r="12" spans="2:14" ht="57">
      <c r="B12" s="73"/>
      <c r="C12" s="103" t="s">
        <v>831</v>
      </c>
      <c r="D12" s="72"/>
      <c r="F12" s="71"/>
      <c r="G12" s="71" t="s">
        <v>897</v>
      </c>
      <c r="H12" s="72" t="s">
        <v>898</v>
      </c>
      <c r="J12" s="87" t="s">
        <v>978</v>
      </c>
      <c r="L12" s="83" t="s">
        <v>954</v>
      </c>
      <c r="M12" s="80" t="s">
        <v>932</v>
      </c>
    </row>
    <row r="13" spans="2:14" ht="114">
      <c r="B13" s="73"/>
      <c r="C13" s="103" t="s">
        <v>832</v>
      </c>
      <c r="D13" s="72" t="s">
        <v>833</v>
      </c>
      <c r="F13" s="2" t="s">
        <v>899</v>
      </c>
      <c r="G13" s="77" t="s">
        <v>900</v>
      </c>
      <c r="H13" s="68" t="s">
        <v>901</v>
      </c>
      <c r="J13" s="87" t="s">
        <v>979</v>
      </c>
      <c r="L13" s="83" t="s">
        <v>955</v>
      </c>
      <c r="M13" s="80" t="s">
        <v>933</v>
      </c>
    </row>
    <row r="14" spans="2:14" ht="25.5">
      <c r="B14" s="73"/>
      <c r="C14" s="103" t="s">
        <v>834</v>
      </c>
      <c r="D14" s="72" t="s">
        <v>835</v>
      </c>
      <c r="F14" s="2"/>
      <c r="G14" s="77" t="s">
        <v>902</v>
      </c>
      <c r="H14" s="68" t="s">
        <v>903</v>
      </c>
      <c r="J14" s="87" t="s">
        <v>980</v>
      </c>
      <c r="L14" s="83" t="s">
        <v>956</v>
      </c>
      <c r="M14" s="81" t="s">
        <v>923</v>
      </c>
    </row>
    <row r="15" spans="2:14" ht="42.75">
      <c r="B15" s="73" t="s">
        <v>836</v>
      </c>
      <c r="C15" s="103" t="s">
        <v>836</v>
      </c>
      <c r="D15" s="72" t="s">
        <v>837</v>
      </c>
      <c r="F15" s="2"/>
      <c r="G15" s="77" t="s">
        <v>904</v>
      </c>
      <c r="H15" s="68" t="s">
        <v>905</v>
      </c>
      <c r="J15" s="71" t="s">
        <v>981</v>
      </c>
      <c r="L15" s="83" t="s">
        <v>957</v>
      </c>
      <c r="M15" s="82" t="s">
        <v>928</v>
      </c>
    </row>
    <row r="16" spans="2:14" ht="25.5">
      <c r="B16" s="73" t="s">
        <v>838</v>
      </c>
      <c r="C16" s="103" t="s">
        <v>839</v>
      </c>
      <c r="D16" s="74" t="s">
        <v>840</v>
      </c>
      <c r="F16" s="2"/>
      <c r="G16" s="77" t="s">
        <v>906</v>
      </c>
      <c r="H16" s="68" t="s">
        <v>907</v>
      </c>
      <c r="L16" s="83" t="s">
        <v>958</v>
      </c>
      <c r="M16" s="81" t="s">
        <v>929</v>
      </c>
    </row>
    <row r="17" spans="2:13" ht="71.25">
      <c r="B17" s="73" t="s">
        <v>841</v>
      </c>
      <c r="C17" s="103" t="s">
        <v>842</v>
      </c>
      <c r="D17" s="72" t="s">
        <v>843</v>
      </c>
      <c r="F17" s="2"/>
      <c r="G17" s="77" t="s">
        <v>908</v>
      </c>
      <c r="H17" s="68" t="s">
        <v>909</v>
      </c>
      <c r="M17" s="80" t="s">
        <v>934</v>
      </c>
    </row>
    <row r="18" spans="2:13">
      <c r="B18" s="72" t="s">
        <v>844</v>
      </c>
      <c r="C18" s="103" t="s">
        <v>845</v>
      </c>
      <c r="D18" s="72" t="s">
        <v>846</v>
      </c>
      <c r="F18" s="2"/>
      <c r="G18" s="77" t="s">
        <v>910</v>
      </c>
      <c r="H18" s="68" t="s">
        <v>911</v>
      </c>
      <c r="M18" s="80" t="s">
        <v>935</v>
      </c>
    </row>
    <row r="19" spans="2:13" ht="71.25">
      <c r="F19" s="2" t="s">
        <v>1591</v>
      </c>
      <c r="G19" s="77" t="s">
        <v>912</v>
      </c>
      <c r="H19" s="68" t="s">
        <v>913</v>
      </c>
      <c r="M19" s="80" t="s">
        <v>936</v>
      </c>
    </row>
    <row r="20" spans="2:13" ht="25.5">
      <c r="B20" s="50"/>
      <c r="C20" s="2" t="s">
        <v>847</v>
      </c>
      <c r="D20" s="55" t="s">
        <v>848</v>
      </c>
      <c r="F20" s="2"/>
      <c r="G20" s="77" t="s">
        <v>914</v>
      </c>
      <c r="H20" s="68" t="s">
        <v>915</v>
      </c>
      <c r="M20" s="79" t="s">
        <v>937</v>
      </c>
    </row>
    <row r="21" spans="2:13">
      <c r="B21" s="75"/>
      <c r="C21" s="2" t="s">
        <v>849</v>
      </c>
      <c r="D21" s="55" t="s">
        <v>850</v>
      </c>
      <c r="F21" s="2"/>
      <c r="G21" s="77" t="s">
        <v>916</v>
      </c>
      <c r="H21" s="68" t="s">
        <v>917</v>
      </c>
      <c r="M21" s="79" t="s">
        <v>938</v>
      </c>
    </row>
    <row r="22" spans="2:13">
      <c r="B22" s="50" t="s">
        <v>851</v>
      </c>
      <c r="C22" s="2" t="s">
        <v>852</v>
      </c>
      <c r="D22" s="68" t="s">
        <v>853</v>
      </c>
      <c r="M22" s="79" t="s">
        <v>939</v>
      </c>
    </row>
    <row r="23" spans="2:13" ht="42.75">
      <c r="B23" s="50"/>
      <c r="C23" s="2" t="s">
        <v>854</v>
      </c>
      <c r="D23" s="68" t="s">
        <v>855</v>
      </c>
      <c r="M23" s="79" t="s">
        <v>940</v>
      </c>
    </row>
    <row r="24" spans="2:13">
      <c r="B24" s="76"/>
      <c r="C24" s="2" t="s">
        <v>856</v>
      </c>
      <c r="D24" s="68" t="s">
        <v>857</v>
      </c>
      <c r="M24" s="79" t="s">
        <v>942</v>
      </c>
    </row>
    <row r="25" spans="2:13">
      <c r="B25" s="50" t="s">
        <v>858</v>
      </c>
      <c r="C25" s="2" t="s">
        <v>859</v>
      </c>
      <c r="D25" s="68" t="s">
        <v>860</v>
      </c>
      <c r="M25" s="79" t="s">
        <v>943</v>
      </c>
    </row>
    <row r="26" spans="2:13" ht="25.5">
      <c r="B26" s="68"/>
      <c r="C26" s="2" t="s">
        <v>861</v>
      </c>
      <c r="D26" s="68" t="s">
        <v>862</v>
      </c>
      <c r="M26" s="79" t="s">
        <v>944</v>
      </c>
    </row>
    <row r="27" spans="2:13">
      <c r="B27" s="68"/>
      <c r="C27" s="2" t="s">
        <v>863</v>
      </c>
      <c r="D27" s="68" t="s">
        <v>864</v>
      </c>
    </row>
    <row r="28" spans="2:13">
      <c r="B28" s="68"/>
      <c r="C28" s="2" t="s">
        <v>865</v>
      </c>
      <c r="D28" s="55" t="s">
        <v>866</v>
      </c>
    </row>
    <row r="29" spans="2:13" ht="42.75">
      <c r="B29" s="68"/>
      <c r="C29" s="2" t="s">
        <v>867</v>
      </c>
      <c r="D29" s="68" t="s">
        <v>868</v>
      </c>
    </row>
    <row r="30" spans="2:13" ht="28.5">
      <c r="B30" s="68"/>
      <c r="C30" s="2" t="s">
        <v>869</v>
      </c>
      <c r="D30" s="68" t="s">
        <v>870</v>
      </c>
    </row>
    <row r="31" spans="2:13" ht="42.75">
      <c r="B31" s="68"/>
      <c r="C31" s="2" t="s">
        <v>871</v>
      </c>
      <c r="D31" s="68" t="s">
        <v>872</v>
      </c>
    </row>
    <row r="32" spans="2:13" ht="42.75">
      <c r="B32" s="68" t="s">
        <v>873</v>
      </c>
      <c r="C32" s="2" t="s">
        <v>874</v>
      </c>
      <c r="D32" s="68" t="s">
        <v>875</v>
      </c>
    </row>
    <row r="33" spans="2:4" ht="28.5">
      <c r="B33" s="68"/>
      <c r="C33" s="2" t="s">
        <v>876</v>
      </c>
      <c r="D33" s="68" t="s">
        <v>877</v>
      </c>
    </row>
  </sheetData>
  <mergeCells count="2">
    <mergeCell ref="F2:H2"/>
    <mergeCell ref="B2:D2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98D5E-9EBB-4602-94B6-BF83C1BD04BB}">
  <sheetPr>
    <tabColor rgb="FFFF0000"/>
  </sheetPr>
  <dimension ref="B1:U213"/>
  <sheetViews>
    <sheetView topLeftCell="A5" workbookViewId="0">
      <selection activeCell="D23" sqref="D23"/>
    </sheetView>
  </sheetViews>
  <sheetFormatPr defaultRowHeight="14.25"/>
  <cols>
    <col min="1" max="1" width="2.75" customWidth="1"/>
    <col min="8" max="8" width="2.75" customWidth="1"/>
    <col min="9" max="9" width="34" style="63" customWidth="1"/>
    <col min="10" max="10" width="15.75" customWidth="1"/>
    <col min="11" max="14" width="13.75" style="46" customWidth="1"/>
    <col min="15" max="15" width="2.375" style="46" customWidth="1"/>
    <col min="16" max="16" width="13" style="46" bestFit="1" customWidth="1"/>
    <col min="17" max="17" width="13.75" style="46" customWidth="1"/>
    <col min="18" max="18" width="2.25" style="46" customWidth="1"/>
    <col min="19" max="19" width="15.125" style="46" bestFit="1" customWidth="1"/>
    <col min="20" max="21" width="13.75" style="46" customWidth="1"/>
  </cols>
  <sheetData>
    <row r="1" spans="2:20">
      <c r="B1" s="227" t="s">
        <v>272</v>
      </c>
      <c r="C1" s="227"/>
      <c r="D1" s="227"/>
      <c r="E1" s="227"/>
      <c r="F1" s="227"/>
      <c r="G1" s="227"/>
    </row>
    <row r="2" spans="2:20" ht="42.75">
      <c r="B2" s="278" t="s">
        <v>249</v>
      </c>
      <c r="C2" s="279"/>
      <c r="D2" s="280"/>
      <c r="E2" s="278" t="s">
        <v>248</v>
      </c>
      <c r="F2" s="279"/>
      <c r="G2" s="280"/>
      <c r="I2" s="64" t="s">
        <v>282</v>
      </c>
      <c r="J2" s="46"/>
      <c r="K2" s="54" t="s">
        <v>1529</v>
      </c>
      <c r="L2" s="54" t="s">
        <v>564</v>
      </c>
      <c r="M2" s="54" t="s">
        <v>500</v>
      </c>
      <c r="N2" s="69" t="s">
        <v>501</v>
      </c>
      <c r="P2" s="54" t="s">
        <v>692</v>
      </c>
      <c r="Q2" s="54"/>
      <c r="S2" s="54" t="s">
        <v>263</v>
      </c>
      <c r="T2" s="54" t="s">
        <v>743</v>
      </c>
    </row>
    <row r="3" spans="2:20">
      <c r="B3" s="278" t="s">
        <v>247</v>
      </c>
      <c r="C3" s="279"/>
      <c r="D3" s="280"/>
      <c r="E3" s="278" t="s">
        <v>246</v>
      </c>
      <c r="F3" s="279"/>
      <c r="G3" s="280"/>
      <c r="I3" s="65" t="s">
        <v>283</v>
      </c>
      <c r="J3" s="46"/>
      <c r="K3" s="54"/>
      <c r="L3" s="54" t="s">
        <v>565</v>
      </c>
      <c r="M3" s="54"/>
      <c r="N3" s="69" t="s">
        <v>502</v>
      </c>
      <c r="P3" s="54" t="s">
        <v>693</v>
      </c>
      <c r="Q3" s="54" t="s">
        <v>694</v>
      </c>
      <c r="S3" s="54"/>
      <c r="T3" s="54" t="s">
        <v>744</v>
      </c>
    </row>
    <row r="4" spans="2:20">
      <c r="B4" s="227" t="s">
        <v>245</v>
      </c>
      <c r="C4" s="227"/>
      <c r="D4" s="227"/>
      <c r="E4" s="227"/>
      <c r="F4" s="227"/>
      <c r="G4" s="227"/>
      <c r="I4" s="66" t="s">
        <v>284</v>
      </c>
      <c r="J4" s="46"/>
      <c r="K4" s="54"/>
      <c r="L4" s="54" t="s">
        <v>566</v>
      </c>
      <c r="M4" s="54" t="s">
        <v>503</v>
      </c>
      <c r="N4" s="69"/>
      <c r="P4" s="54"/>
      <c r="Q4" s="54" t="s">
        <v>695</v>
      </c>
      <c r="S4" s="54"/>
      <c r="T4" s="54" t="s">
        <v>745</v>
      </c>
    </row>
    <row r="5" spans="2:20" ht="28.5">
      <c r="B5" s="54" t="s">
        <v>250</v>
      </c>
      <c r="C5" s="54" t="s">
        <v>253</v>
      </c>
      <c r="D5" s="54" t="s">
        <v>252</v>
      </c>
      <c r="E5" s="54" t="s">
        <v>251</v>
      </c>
      <c r="F5" s="55"/>
      <c r="G5" s="55"/>
      <c r="I5" s="65" t="s">
        <v>285</v>
      </c>
      <c r="J5" s="46"/>
      <c r="K5" s="54" t="s">
        <v>567</v>
      </c>
      <c r="L5" s="54" t="s">
        <v>568</v>
      </c>
      <c r="M5" s="54" t="s">
        <v>504</v>
      </c>
      <c r="N5" s="69"/>
      <c r="P5" s="54" t="s">
        <v>696</v>
      </c>
      <c r="Q5" s="54" t="s">
        <v>697</v>
      </c>
      <c r="S5" s="54"/>
      <c r="T5" s="54" t="s">
        <v>746</v>
      </c>
    </row>
    <row r="6" spans="2:20" ht="28.5">
      <c r="B6" s="281" t="s">
        <v>271</v>
      </c>
      <c r="C6" s="281"/>
      <c r="D6" s="56">
        <v>35</v>
      </c>
      <c r="E6" s="281" t="s">
        <v>270</v>
      </c>
      <c r="F6" s="281"/>
      <c r="G6" s="56">
        <v>46</v>
      </c>
      <c r="I6" s="65" t="s">
        <v>286</v>
      </c>
      <c r="J6" s="46"/>
      <c r="K6" s="54"/>
      <c r="L6" s="54" t="s">
        <v>569</v>
      </c>
      <c r="M6" s="54" t="s">
        <v>505</v>
      </c>
      <c r="N6" s="69" t="s">
        <v>506</v>
      </c>
      <c r="P6" s="54"/>
      <c r="Q6" s="54" t="s">
        <v>698</v>
      </c>
      <c r="S6" s="54"/>
      <c r="T6" s="54" t="s">
        <v>747</v>
      </c>
    </row>
    <row r="7" spans="2:20">
      <c r="B7" s="281" t="s">
        <v>269</v>
      </c>
      <c r="C7" s="281"/>
      <c r="D7" s="56">
        <v>38</v>
      </c>
      <c r="E7" s="281" t="s">
        <v>268</v>
      </c>
      <c r="F7" s="281"/>
      <c r="G7" s="56">
        <v>26</v>
      </c>
      <c r="I7" s="66" t="s">
        <v>287</v>
      </c>
      <c r="J7" s="46"/>
      <c r="K7" s="54" t="s">
        <v>570</v>
      </c>
      <c r="L7" s="54"/>
      <c r="M7" s="54"/>
      <c r="N7" s="69" t="s">
        <v>507</v>
      </c>
      <c r="P7" s="54"/>
      <c r="Q7" s="54" t="s">
        <v>699</v>
      </c>
      <c r="S7" s="54" t="s">
        <v>748</v>
      </c>
      <c r="T7" s="54" t="s">
        <v>749</v>
      </c>
    </row>
    <row r="8" spans="2:20" ht="28.5">
      <c r="B8" s="281" t="s">
        <v>267</v>
      </c>
      <c r="C8" s="281"/>
      <c r="D8" s="56">
        <v>28</v>
      </c>
      <c r="E8" s="56" t="s">
        <v>266</v>
      </c>
      <c r="F8" s="56">
        <v>24</v>
      </c>
      <c r="G8" s="281">
        <v>62</v>
      </c>
      <c r="I8" s="65" t="s">
        <v>288</v>
      </c>
      <c r="J8" s="46"/>
      <c r="K8" s="54" t="s">
        <v>571</v>
      </c>
      <c r="L8" s="54" t="s">
        <v>572</v>
      </c>
      <c r="M8" s="54"/>
      <c r="N8" s="69" t="s">
        <v>508</v>
      </c>
      <c r="P8" s="54"/>
      <c r="Q8" s="54" t="s">
        <v>700</v>
      </c>
      <c r="S8" s="54"/>
      <c r="T8" s="54" t="s">
        <v>750</v>
      </c>
    </row>
    <row r="9" spans="2:20" ht="28.5">
      <c r="B9" s="56" t="s">
        <v>265</v>
      </c>
      <c r="C9" s="56">
        <v>10</v>
      </c>
      <c r="D9" s="281">
        <v>45</v>
      </c>
      <c r="E9" s="56" t="s">
        <v>264</v>
      </c>
      <c r="F9" s="56">
        <v>12</v>
      </c>
      <c r="G9" s="281"/>
      <c r="I9" s="65" t="s">
        <v>289</v>
      </c>
      <c r="J9" s="46"/>
      <c r="K9" s="54"/>
      <c r="L9" s="54" t="s">
        <v>573</v>
      </c>
      <c r="M9" s="54" t="s">
        <v>509</v>
      </c>
      <c r="N9" s="69" t="s">
        <v>501</v>
      </c>
      <c r="P9" s="54"/>
      <c r="Q9" s="54" t="s">
        <v>701</v>
      </c>
      <c r="S9" s="54"/>
      <c r="T9" s="54" t="s">
        <v>751</v>
      </c>
    </row>
    <row r="10" spans="2:20" ht="28.5">
      <c r="B10" s="56" t="s">
        <v>263</v>
      </c>
      <c r="C10" s="56">
        <v>12</v>
      </c>
      <c r="D10" s="281"/>
      <c r="E10" s="56" t="s">
        <v>262</v>
      </c>
      <c r="F10" s="56">
        <v>16</v>
      </c>
      <c r="G10" s="281"/>
      <c r="I10" s="64" t="s">
        <v>290</v>
      </c>
      <c r="J10" s="46"/>
      <c r="K10" s="54" t="s">
        <v>574</v>
      </c>
      <c r="L10" s="54" t="s">
        <v>575</v>
      </c>
      <c r="M10" s="54"/>
      <c r="N10" s="69" t="s">
        <v>510</v>
      </c>
      <c r="P10" s="54"/>
      <c r="Q10" s="54" t="s">
        <v>702</v>
      </c>
      <c r="S10" s="54" t="s">
        <v>752</v>
      </c>
      <c r="T10" s="54" t="s">
        <v>753</v>
      </c>
    </row>
    <row r="11" spans="2:20">
      <c r="B11" s="56" t="s">
        <v>261</v>
      </c>
      <c r="C11" s="56">
        <v>14</v>
      </c>
      <c r="D11" s="281"/>
      <c r="E11" s="56" t="s">
        <v>260</v>
      </c>
      <c r="F11" s="56">
        <v>6</v>
      </c>
      <c r="G11" s="281"/>
      <c r="I11" s="65" t="s">
        <v>291</v>
      </c>
      <c r="J11" s="46"/>
      <c r="K11" s="54"/>
      <c r="L11" s="54" t="s">
        <v>576</v>
      </c>
      <c r="M11" s="54" t="s">
        <v>511</v>
      </c>
      <c r="N11" s="69" t="s">
        <v>506</v>
      </c>
      <c r="P11" s="54"/>
      <c r="Q11" s="54" t="s">
        <v>703</v>
      </c>
      <c r="S11" s="54"/>
      <c r="T11" s="70" t="s">
        <v>754</v>
      </c>
    </row>
    <row r="12" spans="2:20" ht="28.5">
      <c r="B12" s="56" t="s">
        <v>259</v>
      </c>
      <c r="C12" s="56">
        <v>4</v>
      </c>
      <c r="D12" s="281"/>
      <c r="E12" s="56" t="s">
        <v>258</v>
      </c>
      <c r="F12" s="56">
        <v>4</v>
      </c>
      <c r="G12" s="281"/>
      <c r="I12" s="65" t="s">
        <v>292</v>
      </c>
      <c r="J12" s="46"/>
      <c r="K12" s="54"/>
      <c r="L12" s="54" t="s">
        <v>577</v>
      </c>
      <c r="M12" s="54"/>
      <c r="N12" s="69" t="s">
        <v>512</v>
      </c>
      <c r="P12" s="54"/>
      <c r="Q12" s="54" t="s">
        <v>704</v>
      </c>
      <c r="S12" s="54"/>
      <c r="T12" s="54" t="s">
        <v>755</v>
      </c>
    </row>
    <row r="13" spans="2:20" ht="28.5">
      <c r="B13" s="56" t="s">
        <v>257</v>
      </c>
      <c r="C13" s="56">
        <v>5</v>
      </c>
      <c r="D13" s="281"/>
      <c r="E13" s="281" t="s">
        <v>256</v>
      </c>
      <c r="F13" s="281"/>
      <c r="G13" s="281">
        <v>16</v>
      </c>
      <c r="I13" s="65" t="s">
        <v>293</v>
      </c>
      <c r="J13" s="46"/>
      <c r="K13" s="54" t="s">
        <v>578</v>
      </c>
      <c r="L13" s="54" t="s">
        <v>579</v>
      </c>
      <c r="M13" s="54"/>
      <c r="N13" s="69" t="s">
        <v>513</v>
      </c>
      <c r="P13" s="54" t="s">
        <v>705</v>
      </c>
      <c r="Q13" s="54" t="s">
        <v>706</v>
      </c>
      <c r="S13" s="54"/>
      <c r="T13" s="70" t="s">
        <v>756</v>
      </c>
    </row>
    <row r="14" spans="2:20" ht="28.5">
      <c r="B14" s="281" t="s">
        <v>255</v>
      </c>
      <c r="C14" s="281"/>
      <c r="D14" s="56">
        <v>4</v>
      </c>
      <c r="E14" s="281" t="s">
        <v>254</v>
      </c>
      <c r="F14" s="281"/>
      <c r="G14" s="281"/>
      <c r="I14" s="65" t="s">
        <v>294</v>
      </c>
      <c r="J14" s="46"/>
      <c r="K14" s="54"/>
      <c r="L14" s="54" t="s">
        <v>580</v>
      </c>
      <c r="M14" s="54"/>
      <c r="N14" s="69" t="s">
        <v>514</v>
      </c>
      <c r="P14" s="54"/>
      <c r="Q14" s="54" t="s">
        <v>707</v>
      </c>
      <c r="S14" s="54"/>
      <c r="T14" s="54" t="s">
        <v>757</v>
      </c>
    </row>
    <row r="15" spans="2:20" ht="28.5">
      <c r="B15" s="57"/>
      <c r="C15" s="57"/>
      <c r="D15" s="57"/>
      <c r="E15" s="57"/>
      <c r="F15" s="57"/>
      <c r="G15" s="57"/>
      <c r="I15" s="65" t="s">
        <v>295</v>
      </c>
      <c r="J15" s="46"/>
      <c r="K15" s="54" t="s">
        <v>581</v>
      </c>
      <c r="L15" s="54" t="s">
        <v>582</v>
      </c>
      <c r="M15" s="54" t="s">
        <v>515</v>
      </c>
      <c r="N15" s="69" t="s">
        <v>506</v>
      </c>
      <c r="P15" s="54"/>
      <c r="Q15" s="54" t="s">
        <v>708</v>
      </c>
      <c r="S15" s="54" t="s">
        <v>259</v>
      </c>
      <c r="T15" s="54" t="s">
        <v>758</v>
      </c>
    </row>
    <row r="16" spans="2:20" ht="28.5">
      <c r="B16" s="281" t="s">
        <v>273</v>
      </c>
      <c r="C16" s="281"/>
      <c r="D16" s="281"/>
      <c r="E16" s="281"/>
      <c r="F16" s="57"/>
      <c r="G16" s="57"/>
      <c r="I16" s="65" t="s">
        <v>296</v>
      </c>
      <c r="J16" s="46"/>
      <c r="K16" s="54"/>
      <c r="L16" s="54" t="s">
        <v>583</v>
      </c>
      <c r="M16" s="54"/>
      <c r="N16" s="69" t="s">
        <v>512</v>
      </c>
      <c r="P16" s="54"/>
      <c r="Q16" s="54" t="s">
        <v>709</v>
      </c>
      <c r="S16" s="54"/>
      <c r="T16" s="54" t="s">
        <v>759</v>
      </c>
    </row>
    <row r="17" spans="2:20" ht="42.75">
      <c r="B17" s="282" t="s">
        <v>281</v>
      </c>
      <c r="C17" s="282"/>
      <c r="D17" s="282"/>
      <c r="E17" s="282"/>
      <c r="F17" s="57"/>
      <c r="G17" s="57"/>
      <c r="I17" s="65" t="s">
        <v>297</v>
      </c>
      <c r="J17" s="46"/>
      <c r="K17" s="54"/>
      <c r="L17" s="54" t="s">
        <v>584</v>
      </c>
      <c r="M17" s="54"/>
      <c r="N17" s="69" t="s">
        <v>516</v>
      </c>
      <c r="P17" s="54"/>
      <c r="Q17" s="54" t="s">
        <v>710</v>
      </c>
      <c r="S17" s="54" t="s">
        <v>760</v>
      </c>
      <c r="T17" s="54" t="s">
        <v>506</v>
      </c>
    </row>
    <row r="18" spans="2:20" ht="28.5">
      <c r="B18" s="281" t="s">
        <v>274</v>
      </c>
      <c r="C18" s="281"/>
      <c r="D18" s="281"/>
      <c r="E18" s="281"/>
      <c r="F18" s="57"/>
      <c r="G18" s="57"/>
      <c r="I18" s="65" t="s">
        <v>298</v>
      </c>
      <c r="J18" s="46"/>
      <c r="K18" s="54"/>
      <c r="L18" s="54" t="s">
        <v>585</v>
      </c>
      <c r="M18" s="54"/>
      <c r="N18" s="69" t="s">
        <v>517</v>
      </c>
      <c r="P18" s="54"/>
      <c r="Q18" s="54" t="s">
        <v>711</v>
      </c>
      <c r="S18" s="54"/>
      <c r="T18" s="54" t="s">
        <v>761</v>
      </c>
    </row>
    <row r="19" spans="2:20" ht="28.5">
      <c r="B19" s="58" t="s">
        <v>265</v>
      </c>
      <c r="C19" s="58">
        <v>35</v>
      </c>
      <c r="D19" s="58" t="s">
        <v>280</v>
      </c>
      <c r="E19" s="58" t="s">
        <v>279</v>
      </c>
      <c r="F19" s="57"/>
      <c r="G19" s="57"/>
      <c r="I19" s="65" t="s">
        <v>299</v>
      </c>
      <c r="J19" s="46"/>
      <c r="K19" s="54" t="s">
        <v>586</v>
      </c>
      <c r="L19" s="54" t="s">
        <v>587</v>
      </c>
      <c r="M19" s="54"/>
      <c r="N19" s="69" t="s">
        <v>518</v>
      </c>
      <c r="P19" s="54"/>
      <c r="Q19" s="54" t="s">
        <v>712</v>
      </c>
      <c r="S19" s="54"/>
      <c r="T19" s="54" t="s">
        <v>762</v>
      </c>
    </row>
    <row r="20" spans="2:20" ht="28.5">
      <c r="B20" s="58" t="s">
        <v>271</v>
      </c>
      <c r="C20" s="58">
        <v>31</v>
      </c>
      <c r="D20" s="58" t="s">
        <v>278</v>
      </c>
      <c r="E20" s="57"/>
      <c r="F20" s="57"/>
      <c r="G20" s="57"/>
      <c r="I20" s="65" t="s">
        <v>300</v>
      </c>
      <c r="J20" s="46"/>
      <c r="K20" s="54"/>
      <c r="L20" s="54" t="s">
        <v>588</v>
      </c>
      <c r="M20" s="54" t="s">
        <v>519</v>
      </c>
      <c r="N20" s="69" t="s">
        <v>506</v>
      </c>
      <c r="P20" s="54"/>
      <c r="Q20" s="54" t="s">
        <v>713</v>
      </c>
      <c r="S20" s="54"/>
      <c r="T20" s="54" t="s">
        <v>763</v>
      </c>
    </row>
    <row r="21" spans="2:20" ht="28.5">
      <c r="B21" s="58" t="s">
        <v>269</v>
      </c>
      <c r="C21" s="58">
        <v>30</v>
      </c>
      <c r="D21" s="58" t="s">
        <v>277</v>
      </c>
      <c r="E21" s="57"/>
      <c r="F21" s="57"/>
      <c r="G21" s="57"/>
      <c r="I21" s="65" t="s">
        <v>301</v>
      </c>
      <c r="J21" s="46"/>
      <c r="K21" s="54"/>
      <c r="L21" s="54" t="s">
        <v>589</v>
      </c>
      <c r="M21" s="54"/>
      <c r="N21" s="69" t="s">
        <v>520</v>
      </c>
      <c r="P21" s="54" t="s">
        <v>555</v>
      </c>
      <c r="Q21" s="54" t="s">
        <v>714</v>
      </c>
      <c r="S21" s="54"/>
      <c r="T21" s="54" t="s">
        <v>764</v>
      </c>
    </row>
    <row r="22" spans="2:20" ht="42.75">
      <c r="B22" s="58" t="s">
        <v>276</v>
      </c>
      <c r="C22" s="58">
        <v>56</v>
      </c>
      <c r="D22" s="59"/>
      <c r="E22" s="59"/>
      <c r="F22" s="57"/>
      <c r="G22" s="57"/>
      <c r="I22" s="65" t="s">
        <v>302</v>
      </c>
      <c r="J22" s="46"/>
      <c r="K22" s="54" t="s">
        <v>590</v>
      </c>
      <c r="L22" s="54" t="s">
        <v>591</v>
      </c>
      <c r="M22" s="54"/>
      <c r="N22" s="69" t="s">
        <v>521</v>
      </c>
      <c r="P22" s="54"/>
      <c r="Q22" s="54" t="s">
        <v>715</v>
      </c>
      <c r="S22" s="54" t="s">
        <v>765</v>
      </c>
      <c r="T22" s="54" t="s">
        <v>766</v>
      </c>
    </row>
    <row r="23" spans="2:20" ht="28.5">
      <c r="B23" s="58" t="s">
        <v>275</v>
      </c>
      <c r="C23" s="58">
        <v>28</v>
      </c>
      <c r="D23" s="59"/>
      <c r="E23" s="59"/>
      <c r="F23" s="57"/>
      <c r="G23" s="57"/>
      <c r="I23" s="65" t="s">
        <v>303</v>
      </c>
      <c r="J23" s="46"/>
      <c r="K23" s="54"/>
      <c r="L23" s="54" t="s">
        <v>592</v>
      </c>
      <c r="M23" s="54"/>
      <c r="N23" s="69" t="s">
        <v>522</v>
      </c>
      <c r="P23" s="54"/>
      <c r="Q23" s="54" t="s">
        <v>716</v>
      </c>
      <c r="S23" s="54"/>
      <c r="T23" s="54" t="s">
        <v>767</v>
      </c>
    </row>
    <row r="24" spans="2:20" ht="28.5">
      <c r="I24" s="65" t="s">
        <v>304</v>
      </c>
      <c r="J24" s="46"/>
      <c r="K24" s="54"/>
      <c r="L24" s="54" t="s">
        <v>593</v>
      </c>
      <c r="M24" s="54" t="s">
        <v>523</v>
      </c>
      <c r="N24" s="69"/>
      <c r="P24" s="54" t="s">
        <v>717</v>
      </c>
      <c r="Q24" s="54"/>
      <c r="S24" s="54"/>
      <c r="T24" s="54" t="s">
        <v>768</v>
      </c>
    </row>
    <row r="25" spans="2:20" ht="42.75">
      <c r="I25" s="65" t="s">
        <v>305</v>
      </c>
      <c r="J25" s="46"/>
      <c r="K25" s="54" t="s">
        <v>594</v>
      </c>
      <c r="L25" s="54" t="s">
        <v>595</v>
      </c>
      <c r="M25" s="54" t="s">
        <v>524</v>
      </c>
      <c r="N25" s="69"/>
      <c r="P25" s="54" t="s">
        <v>718</v>
      </c>
      <c r="Q25" s="54"/>
      <c r="S25" s="54"/>
      <c r="T25" s="54" t="s">
        <v>769</v>
      </c>
    </row>
    <row r="26" spans="2:20" ht="28.5">
      <c r="I26" s="65" t="s">
        <v>306</v>
      </c>
      <c r="J26" s="46"/>
      <c r="K26" s="54"/>
      <c r="L26" s="54" t="s">
        <v>596</v>
      </c>
      <c r="M26" s="54" t="s">
        <v>525</v>
      </c>
      <c r="N26" s="69"/>
      <c r="P26" s="54" t="s">
        <v>719</v>
      </c>
      <c r="Q26" s="54"/>
      <c r="S26" s="54"/>
      <c r="T26" s="54" t="s">
        <v>770</v>
      </c>
    </row>
    <row r="27" spans="2:20">
      <c r="I27" s="65" t="s">
        <v>307</v>
      </c>
      <c r="J27" s="46"/>
      <c r="K27" s="54"/>
      <c r="L27" s="54" t="s">
        <v>597</v>
      </c>
      <c r="M27" s="54" t="s">
        <v>526</v>
      </c>
      <c r="N27" s="69" t="s">
        <v>527</v>
      </c>
      <c r="P27" s="54" t="s">
        <v>720</v>
      </c>
      <c r="Q27" s="54"/>
      <c r="S27" s="54"/>
      <c r="T27" s="54" t="s">
        <v>771</v>
      </c>
    </row>
    <row r="28" spans="2:20" ht="28.5">
      <c r="I28" s="66" t="s">
        <v>308</v>
      </c>
      <c r="J28" s="46"/>
      <c r="K28" s="54"/>
      <c r="L28" s="54" t="s">
        <v>598</v>
      </c>
      <c r="M28" s="54"/>
      <c r="N28" s="69" t="s">
        <v>528</v>
      </c>
      <c r="P28" s="54" t="s">
        <v>721</v>
      </c>
      <c r="Q28" s="54"/>
      <c r="S28" s="54"/>
      <c r="T28" s="54" t="s">
        <v>772</v>
      </c>
    </row>
    <row r="29" spans="2:20" ht="28.5">
      <c r="I29" s="65" t="s">
        <v>309</v>
      </c>
      <c r="J29" s="46"/>
      <c r="K29" s="54" t="s">
        <v>599</v>
      </c>
      <c r="L29" s="54" t="s">
        <v>600</v>
      </c>
      <c r="M29" s="54"/>
      <c r="N29" s="69" t="s">
        <v>529</v>
      </c>
      <c r="P29" s="54" t="s">
        <v>529</v>
      </c>
      <c r="Q29" s="54"/>
      <c r="S29" s="54"/>
      <c r="T29" s="54" t="s">
        <v>773</v>
      </c>
    </row>
    <row r="30" spans="2:20">
      <c r="I30" s="65" t="s">
        <v>310</v>
      </c>
      <c r="J30" s="46"/>
      <c r="K30" s="54"/>
      <c r="L30" s="54" t="s">
        <v>601</v>
      </c>
      <c r="M30" s="54"/>
      <c r="N30" s="69" t="s">
        <v>530</v>
      </c>
      <c r="P30" s="54" t="s">
        <v>530</v>
      </c>
      <c r="Q30" s="54"/>
      <c r="S30" s="54" t="s">
        <v>256</v>
      </c>
      <c r="T30" s="54" t="s">
        <v>506</v>
      </c>
    </row>
    <row r="31" spans="2:20">
      <c r="I31" s="65" t="s">
        <v>311</v>
      </c>
      <c r="J31" s="46"/>
      <c r="K31" s="54"/>
      <c r="L31" s="54" t="s">
        <v>602</v>
      </c>
      <c r="M31" s="54"/>
      <c r="N31" s="69" t="s">
        <v>531</v>
      </c>
      <c r="P31" s="54" t="s">
        <v>722</v>
      </c>
      <c r="Q31" s="54"/>
      <c r="S31" s="54"/>
      <c r="T31" s="54" t="s">
        <v>774</v>
      </c>
    </row>
    <row r="32" spans="2:20" ht="28.5">
      <c r="I32" s="65" t="s">
        <v>312</v>
      </c>
      <c r="J32" s="46"/>
      <c r="K32" s="54"/>
      <c r="L32" s="54" t="s">
        <v>603</v>
      </c>
      <c r="M32" s="54" t="s">
        <v>532</v>
      </c>
      <c r="N32" s="69" t="s">
        <v>533</v>
      </c>
      <c r="P32" s="54" t="s">
        <v>723</v>
      </c>
      <c r="Q32" s="54"/>
      <c r="S32" s="54"/>
      <c r="T32" s="54" t="s">
        <v>775</v>
      </c>
    </row>
    <row r="33" spans="9:20" ht="28.5">
      <c r="I33" s="66" t="s">
        <v>313</v>
      </c>
      <c r="J33" s="46"/>
      <c r="K33" s="54" t="s">
        <v>604</v>
      </c>
      <c r="L33" s="54" t="s">
        <v>605</v>
      </c>
      <c r="M33" s="54"/>
      <c r="N33" s="69" t="s">
        <v>534</v>
      </c>
      <c r="P33" s="54" t="s">
        <v>724</v>
      </c>
      <c r="Q33" s="54"/>
      <c r="S33" s="54"/>
      <c r="T33" s="54" t="s">
        <v>776</v>
      </c>
    </row>
    <row r="34" spans="9:20" ht="28.5">
      <c r="I34" s="67" t="s">
        <v>314</v>
      </c>
      <c r="J34" s="46"/>
      <c r="K34" s="54"/>
      <c r="L34" s="54" t="s">
        <v>606</v>
      </c>
      <c r="M34" s="54" t="s">
        <v>535</v>
      </c>
      <c r="N34" s="69" t="s">
        <v>506</v>
      </c>
      <c r="P34" s="54" t="s">
        <v>725</v>
      </c>
      <c r="Q34" s="54"/>
      <c r="S34" s="54"/>
      <c r="T34" s="54" t="s">
        <v>777</v>
      </c>
    </row>
    <row r="35" spans="9:20" ht="28.5">
      <c r="I35" s="67" t="s">
        <v>315</v>
      </c>
      <c r="J35" s="46"/>
      <c r="K35" s="54"/>
      <c r="L35" s="54" t="s">
        <v>607</v>
      </c>
      <c r="M35" s="54"/>
      <c r="N35" s="69" t="s">
        <v>536</v>
      </c>
      <c r="P35" s="54" t="s">
        <v>726</v>
      </c>
      <c r="Q35" s="54"/>
      <c r="S35" s="54" t="s">
        <v>254</v>
      </c>
      <c r="T35" s="54" t="s">
        <v>766</v>
      </c>
    </row>
    <row r="36" spans="9:20" ht="28.5">
      <c r="I36" s="67" t="s">
        <v>316</v>
      </c>
      <c r="J36" s="46"/>
      <c r="K36" s="54"/>
      <c r="L36" s="54" t="s">
        <v>608</v>
      </c>
      <c r="M36" s="54"/>
      <c r="N36" s="69" t="s">
        <v>537</v>
      </c>
      <c r="P36" s="54" t="s">
        <v>727</v>
      </c>
      <c r="Q36" s="54"/>
      <c r="S36" s="54"/>
      <c r="T36" s="54" t="s">
        <v>778</v>
      </c>
    </row>
    <row r="37" spans="9:20" ht="28.5">
      <c r="I37" s="66" t="s">
        <v>317</v>
      </c>
      <c r="J37" s="46"/>
      <c r="K37" s="54"/>
      <c r="L37" s="54" t="s">
        <v>609</v>
      </c>
      <c r="M37" s="54"/>
      <c r="N37" s="69" t="s">
        <v>538</v>
      </c>
      <c r="P37" s="54" t="s">
        <v>728</v>
      </c>
      <c r="Q37" s="54"/>
      <c r="S37" s="54"/>
      <c r="T37" s="54" t="s">
        <v>779</v>
      </c>
    </row>
    <row r="38" spans="9:20">
      <c r="I38" s="67" t="s">
        <v>318</v>
      </c>
      <c r="J38" s="46"/>
      <c r="K38" s="54"/>
      <c r="L38" s="54" t="s">
        <v>610</v>
      </c>
      <c r="M38" s="54" t="s">
        <v>539</v>
      </c>
      <c r="N38" s="69" t="s">
        <v>540</v>
      </c>
      <c r="P38" s="54" t="s">
        <v>729</v>
      </c>
      <c r="Q38" s="54"/>
      <c r="S38" s="54"/>
      <c r="T38" s="54" t="s">
        <v>780</v>
      </c>
    </row>
    <row r="39" spans="9:20" ht="28.5">
      <c r="I39" s="67" t="s">
        <v>319</v>
      </c>
      <c r="J39" s="46"/>
      <c r="K39" s="54"/>
      <c r="L39" s="54" t="s">
        <v>611</v>
      </c>
      <c r="M39" s="54"/>
      <c r="N39" s="69" t="s">
        <v>541</v>
      </c>
      <c r="P39" s="54" t="s">
        <v>730</v>
      </c>
      <c r="Q39" s="54"/>
      <c r="S39" s="54"/>
      <c r="T39" s="54" t="s">
        <v>781</v>
      </c>
    </row>
    <row r="40" spans="9:20" ht="28.5">
      <c r="I40" s="66" t="s">
        <v>320</v>
      </c>
      <c r="J40" s="46"/>
      <c r="K40" s="54"/>
      <c r="L40" s="54" t="s">
        <v>612</v>
      </c>
      <c r="M40" s="54"/>
      <c r="N40" s="69" t="s">
        <v>542</v>
      </c>
      <c r="P40" s="54" t="s">
        <v>731</v>
      </c>
      <c r="Q40" s="54"/>
      <c r="S40" s="54"/>
      <c r="T40" s="54" t="s">
        <v>782</v>
      </c>
    </row>
    <row r="41" spans="9:20" ht="28.5">
      <c r="I41" s="65" t="s">
        <v>321</v>
      </c>
      <c r="J41" s="46"/>
      <c r="K41" s="54"/>
      <c r="L41" s="54" t="s">
        <v>613</v>
      </c>
      <c r="M41" s="54" t="s">
        <v>543</v>
      </c>
      <c r="N41" s="69"/>
      <c r="P41" s="54" t="s">
        <v>732</v>
      </c>
      <c r="Q41" s="54"/>
      <c r="S41" s="54"/>
      <c r="T41" s="54" t="s">
        <v>783</v>
      </c>
    </row>
    <row r="42" spans="9:20" ht="28.5">
      <c r="I42" s="65" t="s">
        <v>322</v>
      </c>
      <c r="J42" s="46"/>
      <c r="K42" s="54"/>
      <c r="L42" s="54" t="s">
        <v>614</v>
      </c>
      <c r="M42" s="54" t="s">
        <v>544</v>
      </c>
      <c r="N42" s="69"/>
      <c r="P42" s="54" t="s">
        <v>733</v>
      </c>
      <c r="Q42" s="54"/>
      <c r="S42" s="2" t="s">
        <v>809</v>
      </c>
    </row>
    <row r="43" spans="9:20" ht="28.5">
      <c r="I43" s="65" t="s">
        <v>323</v>
      </c>
      <c r="J43" s="46"/>
      <c r="K43" s="54"/>
      <c r="L43" s="54" t="s">
        <v>615</v>
      </c>
      <c r="M43" s="54" t="s">
        <v>545</v>
      </c>
      <c r="N43" s="69" t="s">
        <v>546</v>
      </c>
      <c r="P43" s="54" t="s">
        <v>734</v>
      </c>
      <c r="Q43" s="54"/>
      <c r="S43" s="68" t="s">
        <v>784</v>
      </c>
      <c r="T43" s="68"/>
    </row>
    <row r="44" spans="9:20">
      <c r="I44" s="64" t="s">
        <v>324</v>
      </c>
      <c r="J44" s="46"/>
      <c r="K44" s="54" t="s">
        <v>616</v>
      </c>
      <c r="L44" s="54" t="s">
        <v>617</v>
      </c>
      <c r="M44" s="54"/>
      <c r="N44" s="69" t="s">
        <v>547</v>
      </c>
      <c r="P44" s="54" t="s">
        <v>712</v>
      </c>
      <c r="Q44" s="54"/>
      <c r="S44" s="68" t="s">
        <v>785</v>
      </c>
      <c r="T44" s="68"/>
    </row>
    <row r="45" spans="9:20">
      <c r="I45" s="65" t="s">
        <v>325</v>
      </c>
      <c r="J45" s="46"/>
      <c r="K45" s="54"/>
      <c r="L45" s="54" t="s">
        <v>618</v>
      </c>
      <c r="M45" s="54"/>
      <c r="N45" s="69" t="s">
        <v>548</v>
      </c>
      <c r="P45" s="54" t="s">
        <v>555</v>
      </c>
      <c r="Q45" s="54"/>
      <c r="S45" s="68" t="s">
        <v>786</v>
      </c>
      <c r="T45" s="68"/>
    </row>
    <row r="46" spans="9:20" ht="28.5">
      <c r="I46" s="65" t="s">
        <v>326</v>
      </c>
      <c r="J46" s="46"/>
      <c r="K46" s="54" t="s">
        <v>619</v>
      </c>
      <c r="L46" s="54" t="s">
        <v>620</v>
      </c>
      <c r="M46" s="54" t="s">
        <v>549</v>
      </c>
      <c r="N46" s="69"/>
      <c r="P46" s="54" t="s">
        <v>735</v>
      </c>
      <c r="Q46" s="54"/>
      <c r="S46" s="68" t="s">
        <v>787</v>
      </c>
      <c r="T46" s="68" t="s">
        <v>788</v>
      </c>
    </row>
    <row r="47" spans="9:20" ht="28.5">
      <c r="I47" s="65" t="s">
        <v>327</v>
      </c>
      <c r="J47" s="46"/>
      <c r="K47" s="54"/>
      <c r="L47" s="54" t="s">
        <v>621</v>
      </c>
      <c r="M47" s="54" t="s">
        <v>550</v>
      </c>
      <c r="N47" s="69"/>
      <c r="P47" s="54" t="s">
        <v>736</v>
      </c>
      <c r="Q47" s="54"/>
      <c r="S47" s="68"/>
      <c r="T47" s="68" t="s">
        <v>789</v>
      </c>
    </row>
    <row r="48" spans="9:20">
      <c r="I48" s="65" t="s">
        <v>328</v>
      </c>
      <c r="J48" s="46"/>
      <c r="K48" s="54"/>
      <c r="L48" s="54" t="s">
        <v>622</v>
      </c>
      <c r="M48" s="54" t="s">
        <v>551</v>
      </c>
      <c r="N48" s="69" t="s">
        <v>552</v>
      </c>
      <c r="P48" s="54" t="s">
        <v>737</v>
      </c>
      <c r="Q48" s="54"/>
      <c r="S48" s="68"/>
      <c r="T48" s="68" t="s">
        <v>790</v>
      </c>
    </row>
    <row r="49" spans="9:20" ht="28.5">
      <c r="I49" s="65" t="s">
        <v>329</v>
      </c>
      <c r="J49" s="46"/>
      <c r="K49" s="54" t="s">
        <v>623</v>
      </c>
      <c r="L49" s="54" t="s">
        <v>624</v>
      </c>
      <c r="M49" s="54"/>
      <c r="N49" s="69" t="s">
        <v>553</v>
      </c>
      <c r="P49" s="54" t="s">
        <v>738</v>
      </c>
      <c r="Q49" s="54"/>
      <c r="S49" s="68"/>
      <c r="T49" s="68" t="s">
        <v>791</v>
      </c>
    </row>
    <row r="50" spans="9:20">
      <c r="I50" s="65" t="s">
        <v>330</v>
      </c>
      <c r="J50" s="46"/>
      <c r="K50" s="54"/>
      <c r="L50" s="54" t="s">
        <v>625</v>
      </c>
      <c r="M50" s="54"/>
      <c r="N50" s="69" t="s">
        <v>554</v>
      </c>
      <c r="P50" s="54" t="s">
        <v>739</v>
      </c>
      <c r="Q50" s="54"/>
      <c r="S50" s="68"/>
      <c r="T50" s="68" t="s">
        <v>792</v>
      </c>
    </row>
    <row r="51" spans="9:20">
      <c r="I51" s="65" t="s">
        <v>331</v>
      </c>
      <c r="J51" s="46"/>
      <c r="K51" s="54"/>
      <c r="L51" s="54" t="s">
        <v>626</v>
      </c>
      <c r="M51" s="54"/>
      <c r="N51" s="69" t="s">
        <v>555</v>
      </c>
      <c r="P51" s="54" t="s">
        <v>740</v>
      </c>
      <c r="Q51" s="54"/>
      <c r="S51" s="68" t="s">
        <v>793</v>
      </c>
      <c r="T51" s="68" t="s">
        <v>794</v>
      </c>
    </row>
    <row r="52" spans="9:20" ht="28.5">
      <c r="I52" s="65" t="s">
        <v>332</v>
      </c>
      <c r="J52" s="46"/>
      <c r="K52" s="54"/>
      <c r="L52" s="54" t="s">
        <v>627</v>
      </c>
      <c r="M52" s="54"/>
      <c r="N52" s="69" t="s">
        <v>556</v>
      </c>
      <c r="P52" s="54" t="s">
        <v>741</v>
      </c>
      <c r="Q52" s="54"/>
      <c r="S52" s="68"/>
      <c r="T52" s="68" t="s">
        <v>795</v>
      </c>
    </row>
    <row r="53" spans="9:20" ht="28.5">
      <c r="I53" s="65" t="s">
        <v>333</v>
      </c>
      <c r="J53" s="46"/>
      <c r="K53" s="54"/>
      <c r="L53" s="54" t="s">
        <v>628</v>
      </c>
      <c r="M53" s="54"/>
      <c r="N53" s="69" t="s">
        <v>557</v>
      </c>
      <c r="P53" s="54" t="s">
        <v>742</v>
      </c>
      <c r="Q53" s="54"/>
      <c r="S53" s="68"/>
      <c r="T53" s="68" t="s">
        <v>796</v>
      </c>
    </row>
    <row r="54" spans="9:20" ht="28.5">
      <c r="I54" s="66" t="s">
        <v>334</v>
      </c>
      <c r="J54" s="46"/>
      <c r="K54" s="54"/>
      <c r="L54" s="54" t="s">
        <v>629</v>
      </c>
      <c r="M54" s="54"/>
      <c r="N54" s="69" t="s">
        <v>558</v>
      </c>
      <c r="S54" s="68"/>
      <c r="T54" s="68" t="s">
        <v>797</v>
      </c>
    </row>
    <row r="55" spans="9:20" ht="28.5">
      <c r="I55" s="65" t="s">
        <v>335</v>
      </c>
      <c r="J55" s="46"/>
      <c r="K55" s="54" t="s">
        <v>630</v>
      </c>
      <c r="L55" s="54" t="s">
        <v>631</v>
      </c>
      <c r="M55" s="54" t="s">
        <v>559</v>
      </c>
      <c r="N55" s="69" t="s">
        <v>560</v>
      </c>
      <c r="S55" s="68" t="s">
        <v>798</v>
      </c>
      <c r="T55" s="68" t="s">
        <v>799</v>
      </c>
    </row>
    <row r="56" spans="9:20">
      <c r="I56" s="65" t="s">
        <v>336</v>
      </c>
      <c r="J56" s="46"/>
      <c r="K56" s="54"/>
      <c r="L56" s="54" t="s">
        <v>632</v>
      </c>
      <c r="M56" s="54"/>
      <c r="N56" s="69" t="s">
        <v>561</v>
      </c>
      <c r="S56" s="68"/>
      <c r="T56" s="68" t="s">
        <v>800</v>
      </c>
    </row>
    <row r="57" spans="9:20">
      <c r="I57" s="65" t="s">
        <v>337</v>
      </c>
      <c r="J57" s="46"/>
      <c r="K57" s="54"/>
      <c r="L57" s="54" t="s">
        <v>633</v>
      </c>
      <c r="M57" s="54"/>
      <c r="N57" s="69" t="s">
        <v>562</v>
      </c>
      <c r="S57" s="68"/>
      <c r="T57" s="68" t="s">
        <v>801</v>
      </c>
    </row>
    <row r="58" spans="9:20" ht="28.5">
      <c r="I58" s="65" t="s">
        <v>338</v>
      </c>
      <c r="J58" s="46"/>
      <c r="K58" s="54" t="s">
        <v>634</v>
      </c>
      <c r="L58" s="54" t="s">
        <v>635</v>
      </c>
      <c r="M58" s="54"/>
      <c r="N58" s="69" t="s">
        <v>563</v>
      </c>
      <c r="S58" s="68" t="s">
        <v>802</v>
      </c>
      <c r="T58" s="68" t="s">
        <v>260</v>
      </c>
    </row>
    <row r="59" spans="9:20" ht="28.5">
      <c r="I59" s="65" t="s">
        <v>339</v>
      </c>
      <c r="J59" s="46"/>
      <c r="K59" s="54"/>
      <c r="L59" s="54" t="s">
        <v>636</v>
      </c>
      <c r="S59" s="68"/>
      <c r="T59" s="68" t="s">
        <v>803</v>
      </c>
    </row>
    <row r="60" spans="9:20" ht="28.5">
      <c r="I60" s="66" t="s">
        <v>340</v>
      </c>
      <c r="J60" s="46"/>
      <c r="K60" s="54" t="s">
        <v>637</v>
      </c>
      <c r="L60" s="54" t="s">
        <v>638</v>
      </c>
      <c r="S60" s="68" t="s">
        <v>804</v>
      </c>
      <c r="T60" s="68" t="s">
        <v>805</v>
      </c>
    </row>
    <row r="61" spans="9:20" ht="28.5">
      <c r="I61" s="66" t="s">
        <v>341</v>
      </c>
      <c r="J61" s="46"/>
      <c r="K61" s="54"/>
      <c r="L61" s="54" t="s">
        <v>639</v>
      </c>
      <c r="S61" s="68"/>
      <c r="T61" s="68" t="s">
        <v>806</v>
      </c>
    </row>
    <row r="62" spans="9:20" ht="28.5">
      <c r="I62" s="66" t="s">
        <v>342</v>
      </c>
      <c r="J62" s="46"/>
      <c r="K62" s="54"/>
      <c r="L62" s="54" t="s">
        <v>640</v>
      </c>
      <c r="S62" s="68"/>
      <c r="T62" s="68" t="s">
        <v>807</v>
      </c>
    </row>
    <row r="63" spans="9:20" ht="28.5">
      <c r="I63" s="66" t="s">
        <v>343</v>
      </c>
      <c r="J63" s="46"/>
      <c r="K63" s="54"/>
      <c r="L63" s="54" t="s">
        <v>641</v>
      </c>
      <c r="S63" s="68"/>
      <c r="T63" s="68" t="s">
        <v>808</v>
      </c>
    </row>
    <row r="64" spans="9:20" ht="28.5">
      <c r="I64" s="66" t="s">
        <v>344</v>
      </c>
      <c r="J64" s="46"/>
      <c r="K64" s="54"/>
      <c r="L64" s="54" t="s">
        <v>642</v>
      </c>
    </row>
    <row r="65" spans="9:12">
      <c r="I65" s="65" t="s">
        <v>345</v>
      </c>
      <c r="J65" s="46"/>
      <c r="K65" s="70" t="s">
        <v>643</v>
      </c>
      <c r="L65" s="54" t="s">
        <v>533</v>
      </c>
    </row>
    <row r="66" spans="9:12">
      <c r="I66" s="65" t="s">
        <v>346</v>
      </c>
      <c r="J66" s="46"/>
      <c r="K66" s="54"/>
      <c r="L66" s="54" t="s">
        <v>644</v>
      </c>
    </row>
    <row r="67" spans="9:12">
      <c r="I67" s="65" t="s">
        <v>347</v>
      </c>
      <c r="J67" s="46"/>
      <c r="K67" s="54"/>
      <c r="L67" s="54" t="s">
        <v>645</v>
      </c>
    </row>
    <row r="68" spans="9:12">
      <c r="I68" s="66" t="s">
        <v>348</v>
      </c>
      <c r="J68" s="46"/>
      <c r="K68" s="54"/>
      <c r="L68" s="54" t="s">
        <v>646</v>
      </c>
    </row>
    <row r="69" spans="9:12">
      <c r="I69" s="65" t="s">
        <v>349</v>
      </c>
      <c r="J69" s="46"/>
      <c r="K69" s="54"/>
      <c r="L69" s="54" t="s">
        <v>647</v>
      </c>
    </row>
    <row r="70" spans="9:12">
      <c r="I70" s="65" t="s">
        <v>350</v>
      </c>
      <c r="J70" s="46"/>
      <c r="K70" s="54"/>
      <c r="L70" s="54" t="s">
        <v>648</v>
      </c>
    </row>
    <row r="71" spans="9:12">
      <c r="I71" s="65" t="s">
        <v>351</v>
      </c>
      <c r="J71" s="46"/>
      <c r="K71" s="54"/>
      <c r="L71" s="54" t="s">
        <v>649</v>
      </c>
    </row>
    <row r="72" spans="9:12">
      <c r="I72" s="64" t="s">
        <v>352</v>
      </c>
      <c r="J72" s="46"/>
      <c r="K72" s="54"/>
      <c r="L72" s="54" t="s">
        <v>650</v>
      </c>
    </row>
    <row r="73" spans="9:12">
      <c r="I73" s="65" t="s">
        <v>353</v>
      </c>
      <c r="J73" s="46"/>
      <c r="K73" s="54"/>
      <c r="L73" s="54" t="s">
        <v>651</v>
      </c>
    </row>
    <row r="74" spans="9:12">
      <c r="I74" s="65" t="s">
        <v>354</v>
      </c>
      <c r="J74" s="46"/>
      <c r="K74" s="54"/>
      <c r="L74" s="54" t="s">
        <v>652</v>
      </c>
    </row>
    <row r="75" spans="9:12">
      <c r="I75" s="65" t="s">
        <v>355</v>
      </c>
      <c r="J75" s="46"/>
      <c r="K75" s="54"/>
      <c r="L75" s="54" t="s">
        <v>653</v>
      </c>
    </row>
    <row r="76" spans="9:12">
      <c r="I76" s="65" t="s">
        <v>356</v>
      </c>
      <c r="J76" s="46"/>
      <c r="K76" s="54"/>
      <c r="L76" s="54" t="s">
        <v>654</v>
      </c>
    </row>
    <row r="77" spans="9:12" ht="28.5">
      <c r="I77" s="65" t="s">
        <v>357</v>
      </c>
      <c r="J77" s="46"/>
      <c r="K77" s="54"/>
      <c r="L77" s="54" t="s">
        <v>655</v>
      </c>
    </row>
    <row r="78" spans="9:12">
      <c r="I78" s="65" t="s">
        <v>358</v>
      </c>
      <c r="J78" s="46"/>
      <c r="K78" s="54" t="s">
        <v>656</v>
      </c>
      <c r="L78" s="54" t="s">
        <v>657</v>
      </c>
    </row>
    <row r="79" spans="9:12">
      <c r="I79" s="65" t="s">
        <v>359</v>
      </c>
      <c r="J79" s="46"/>
      <c r="K79" s="54"/>
      <c r="L79" s="54" t="s">
        <v>658</v>
      </c>
    </row>
    <row r="80" spans="9:12">
      <c r="I80" s="65" t="s">
        <v>360</v>
      </c>
      <c r="J80" s="46"/>
      <c r="K80" s="54"/>
      <c r="L80" s="54" t="s">
        <v>659</v>
      </c>
    </row>
    <row r="81" spans="9:12" ht="28.5">
      <c r="I81" s="65" t="s">
        <v>361</v>
      </c>
      <c r="J81" s="46"/>
      <c r="K81" s="54"/>
      <c r="L81" s="54" t="s">
        <v>660</v>
      </c>
    </row>
    <row r="82" spans="9:12">
      <c r="I82" s="66" t="s">
        <v>362</v>
      </c>
      <c r="J82" s="46"/>
      <c r="K82" s="54"/>
      <c r="L82" s="54" t="s">
        <v>661</v>
      </c>
    </row>
    <row r="83" spans="9:12" ht="28.5">
      <c r="I83" s="65" t="s">
        <v>363</v>
      </c>
      <c r="J83" s="46"/>
      <c r="K83" s="54"/>
      <c r="L83" s="54" t="s">
        <v>662</v>
      </c>
    </row>
    <row r="84" spans="9:12" ht="28.5">
      <c r="I84" s="65" t="s">
        <v>364</v>
      </c>
      <c r="J84" s="46"/>
      <c r="K84" s="70" t="s">
        <v>663</v>
      </c>
      <c r="L84" s="54" t="s">
        <v>664</v>
      </c>
    </row>
    <row r="85" spans="9:12">
      <c r="I85" s="65" t="s">
        <v>365</v>
      </c>
      <c r="J85" s="46"/>
      <c r="K85" s="54"/>
      <c r="L85" s="54" t="s">
        <v>665</v>
      </c>
    </row>
    <row r="86" spans="9:12" ht="28.5">
      <c r="I86" s="66" t="s">
        <v>366</v>
      </c>
      <c r="J86" s="46"/>
      <c r="K86" s="54"/>
      <c r="L86" s="54" t="s">
        <v>666</v>
      </c>
    </row>
    <row r="87" spans="9:12" ht="28.5">
      <c r="I87" s="65" t="s">
        <v>367</v>
      </c>
      <c r="J87" s="46"/>
      <c r="K87" s="54"/>
      <c r="L87" s="54" t="s">
        <v>667</v>
      </c>
    </row>
    <row r="88" spans="9:12">
      <c r="I88" s="65" t="s">
        <v>368</v>
      </c>
      <c r="J88" s="46"/>
      <c r="K88" s="54"/>
      <c r="L88" s="54" t="s">
        <v>668</v>
      </c>
    </row>
    <row r="89" spans="9:12">
      <c r="I89" s="65" t="s">
        <v>369</v>
      </c>
      <c r="J89" s="46"/>
      <c r="K89" s="54"/>
      <c r="L89" s="54" t="s">
        <v>669</v>
      </c>
    </row>
    <row r="90" spans="9:12">
      <c r="I90" s="66" t="s">
        <v>370</v>
      </c>
      <c r="J90" s="46"/>
      <c r="K90" s="54"/>
      <c r="L90" s="54" t="s">
        <v>670</v>
      </c>
    </row>
    <row r="91" spans="9:12">
      <c r="I91" s="65" t="s">
        <v>371</v>
      </c>
      <c r="J91" s="46"/>
      <c r="K91" s="54"/>
      <c r="L91" s="54" t="s">
        <v>671</v>
      </c>
    </row>
    <row r="92" spans="9:12">
      <c r="I92" s="65" t="s">
        <v>372</v>
      </c>
      <c r="J92" s="46"/>
      <c r="K92" s="54" t="s">
        <v>672</v>
      </c>
      <c r="L92" s="54" t="s">
        <v>673</v>
      </c>
    </row>
    <row r="93" spans="9:12">
      <c r="I93" s="65" t="s">
        <v>371</v>
      </c>
      <c r="J93" s="46"/>
      <c r="K93" s="54"/>
      <c r="L93" s="54" t="s">
        <v>674</v>
      </c>
    </row>
    <row r="94" spans="9:12">
      <c r="I94" s="65" t="s">
        <v>373</v>
      </c>
      <c r="J94" s="46"/>
      <c r="K94" s="54"/>
      <c r="L94" s="54" t="s">
        <v>675</v>
      </c>
    </row>
    <row r="95" spans="9:12">
      <c r="I95" s="65" t="s">
        <v>374</v>
      </c>
      <c r="J95" s="46"/>
      <c r="K95" s="54"/>
      <c r="L95" s="54" t="s">
        <v>676</v>
      </c>
    </row>
    <row r="96" spans="9:12">
      <c r="I96" s="65" t="s">
        <v>375</v>
      </c>
      <c r="J96" s="46"/>
      <c r="K96" s="54"/>
      <c r="L96" s="54" t="s">
        <v>677</v>
      </c>
    </row>
    <row r="97" spans="9:12">
      <c r="I97" s="65" t="s">
        <v>376</v>
      </c>
      <c r="J97" s="46"/>
      <c r="K97" s="54"/>
      <c r="L97" s="54" t="s">
        <v>678</v>
      </c>
    </row>
    <row r="98" spans="9:12">
      <c r="I98" s="65" t="s">
        <v>377</v>
      </c>
      <c r="J98" s="46"/>
      <c r="K98" s="54"/>
      <c r="L98" s="54" t="s">
        <v>679</v>
      </c>
    </row>
    <row r="99" spans="9:12">
      <c r="I99" s="65" t="s">
        <v>378</v>
      </c>
      <c r="J99" s="46"/>
      <c r="K99" s="54"/>
      <c r="L99" s="54" t="s">
        <v>680</v>
      </c>
    </row>
    <row r="100" spans="9:12" ht="28.5">
      <c r="I100" s="65" t="s">
        <v>379</v>
      </c>
      <c r="J100" s="46"/>
      <c r="K100" s="54"/>
      <c r="L100" s="54" t="s">
        <v>681</v>
      </c>
    </row>
    <row r="101" spans="9:12">
      <c r="I101" s="65" t="s">
        <v>380</v>
      </c>
      <c r="J101" s="46"/>
      <c r="K101" s="54" t="s">
        <v>682</v>
      </c>
      <c r="L101" s="54" t="s">
        <v>683</v>
      </c>
    </row>
    <row r="102" spans="9:12">
      <c r="I102" s="65" t="s">
        <v>381</v>
      </c>
      <c r="J102" s="46"/>
      <c r="K102" s="54"/>
      <c r="L102" s="54" t="s">
        <v>684</v>
      </c>
    </row>
    <row r="103" spans="9:12">
      <c r="I103" s="65" t="s">
        <v>382</v>
      </c>
      <c r="J103" s="46"/>
      <c r="K103" s="54"/>
      <c r="L103" s="54" t="s">
        <v>685</v>
      </c>
    </row>
    <row r="104" spans="9:12">
      <c r="I104" s="65" t="s">
        <v>383</v>
      </c>
      <c r="J104" s="46"/>
      <c r="K104" s="54"/>
      <c r="L104" s="54" t="s">
        <v>686</v>
      </c>
    </row>
    <row r="105" spans="9:12">
      <c r="I105" s="65" t="s">
        <v>384</v>
      </c>
      <c r="J105" s="46"/>
      <c r="K105" s="54"/>
      <c r="L105" s="54" t="s">
        <v>687</v>
      </c>
    </row>
    <row r="106" spans="9:12" ht="28.5">
      <c r="I106" s="66" t="s">
        <v>385</v>
      </c>
      <c r="J106" s="46"/>
      <c r="K106" s="54"/>
      <c r="L106" s="54" t="s">
        <v>688</v>
      </c>
    </row>
    <row r="107" spans="9:12">
      <c r="I107" s="65" t="s">
        <v>386</v>
      </c>
      <c r="J107" s="46"/>
      <c r="K107" s="54" t="s">
        <v>689</v>
      </c>
      <c r="L107" s="54" t="s">
        <v>690</v>
      </c>
    </row>
    <row r="108" spans="9:12">
      <c r="I108" s="65" t="s">
        <v>387</v>
      </c>
      <c r="J108" s="46"/>
      <c r="K108" s="54"/>
      <c r="L108" s="54" t="s">
        <v>651</v>
      </c>
    </row>
    <row r="109" spans="9:12">
      <c r="I109" s="65" t="s">
        <v>388</v>
      </c>
      <c r="J109" s="46"/>
      <c r="K109" s="54" t="s">
        <v>691</v>
      </c>
      <c r="L109" s="54"/>
    </row>
    <row r="110" spans="9:12">
      <c r="I110" s="65" t="s">
        <v>389</v>
      </c>
      <c r="J110" s="46"/>
    </row>
    <row r="111" spans="9:12">
      <c r="I111" s="65" t="s">
        <v>369</v>
      </c>
      <c r="J111" s="46"/>
    </row>
    <row r="112" spans="9:12">
      <c r="I112" s="66" t="s">
        <v>390</v>
      </c>
      <c r="J112" s="46"/>
    </row>
    <row r="113" spans="9:10">
      <c r="I113" s="66" t="s">
        <v>391</v>
      </c>
      <c r="J113" s="46"/>
    </row>
    <row r="114" spans="9:10">
      <c r="I114" s="66" t="s">
        <v>392</v>
      </c>
      <c r="J114" s="46"/>
    </row>
    <row r="115" spans="9:10">
      <c r="I115" s="66" t="s">
        <v>393</v>
      </c>
      <c r="J115" s="46"/>
    </row>
    <row r="116" spans="9:10">
      <c r="I116" s="66" t="s">
        <v>394</v>
      </c>
      <c r="J116" s="46"/>
    </row>
    <row r="117" spans="9:10">
      <c r="I117" s="66" t="s">
        <v>395</v>
      </c>
      <c r="J117" s="46"/>
    </row>
    <row r="118" spans="9:10">
      <c r="I118" s="65" t="s">
        <v>396</v>
      </c>
      <c r="J118" s="46"/>
    </row>
    <row r="119" spans="9:10">
      <c r="I119" s="65" t="s">
        <v>397</v>
      </c>
      <c r="J119" s="46"/>
    </row>
    <row r="120" spans="9:10">
      <c r="I120" s="66" t="s">
        <v>398</v>
      </c>
      <c r="J120" s="46"/>
    </row>
    <row r="121" spans="9:10">
      <c r="I121" s="65" t="s">
        <v>399</v>
      </c>
      <c r="J121" s="46"/>
    </row>
    <row r="122" spans="9:10">
      <c r="I122" s="65" t="s">
        <v>400</v>
      </c>
      <c r="J122" s="46"/>
    </row>
    <row r="123" spans="9:10">
      <c r="I123" s="65" t="s">
        <v>401</v>
      </c>
      <c r="J123" s="46"/>
    </row>
    <row r="124" spans="9:10">
      <c r="I124" s="64" t="s">
        <v>402</v>
      </c>
      <c r="J124" s="46"/>
    </row>
    <row r="125" spans="9:10">
      <c r="I125" s="65" t="s">
        <v>403</v>
      </c>
      <c r="J125" s="46"/>
    </row>
    <row r="126" spans="9:10">
      <c r="I126" s="67" t="s">
        <v>404</v>
      </c>
      <c r="J126" s="46"/>
    </row>
    <row r="127" spans="9:10">
      <c r="I127" s="67" t="s">
        <v>371</v>
      </c>
      <c r="J127" s="46"/>
    </row>
    <row r="128" spans="9:10">
      <c r="I128" s="67" t="s">
        <v>405</v>
      </c>
      <c r="J128" s="46"/>
    </row>
    <row r="129" spans="9:10">
      <c r="I129" s="67" t="s">
        <v>371</v>
      </c>
      <c r="J129" s="46"/>
    </row>
    <row r="130" spans="9:10">
      <c r="I130" s="67" t="s">
        <v>406</v>
      </c>
      <c r="J130" s="46"/>
    </row>
    <row r="131" spans="9:10">
      <c r="I131" s="67" t="s">
        <v>371</v>
      </c>
      <c r="J131" s="46"/>
    </row>
    <row r="132" spans="9:10">
      <c r="I132" s="67" t="s">
        <v>407</v>
      </c>
      <c r="J132" s="46"/>
    </row>
    <row r="133" spans="9:10">
      <c r="I133" s="67" t="s">
        <v>371</v>
      </c>
      <c r="J133" s="46"/>
    </row>
    <row r="134" spans="9:10">
      <c r="I134" s="67" t="s">
        <v>408</v>
      </c>
      <c r="J134" s="46"/>
    </row>
    <row r="135" spans="9:10">
      <c r="I135" s="65" t="s">
        <v>409</v>
      </c>
      <c r="J135" s="46"/>
    </row>
    <row r="136" spans="9:10">
      <c r="I136" s="67" t="s">
        <v>410</v>
      </c>
      <c r="J136" s="46"/>
    </row>
    <row r="137" spans="9:10">
      <c r="I137" s="67" t="s">
        <v>371</v>
      </c>
      <c r="J137" s="46"/>
    </row>
    <row r="138" spans="9:10">
      <c r="I138" s="67" t="s">
        <v>411</v>
      </c>
      <c r="J138" s="46"/>
    </row>
    <row r="139" spans="9:10">
      <c r="I139" s="67" t="s">
        <v>371</v>
      </c>
      <c r="J139" s="46"/>
    </row>
    <row r="140" spans="9:10">
      <c r="I140" s="67" t="s">
        <v>404</v>
      </c>
      <c r="J140" s="46"/>
    </row>
    <row r="141" spans="9:10">
      <c r="I141" s="67" t="s">
        <v>371</v>
      </c>
      <c r="J141" s="46"/>
    </row>
    <row r="142" spans="9:10">
      <c r="I142" s="67" t="s">
        <v>412</v>
      </c>
      <c r="J142" s="46"/>
    </row>
    <row r="143" spans="9:10">
      <c r="I143" s="65" t="s">
        <v>413</v>
      </c>
      <c r="J143" s="46"/>
    </row>
    <row r="144" spans="9:10">
      <c r="I144" s="65" t="s">
        <v>414</v>
      </c>
      <c r="J144" s="46"/>
    </row>
    <row r="145" spans="9:10">
      <c r="I145" s="66" t="s">
        <v>415</v>
      </c>
      <c r="J145" s="46"/>
    </row>
    <row r="146" spans="9:10">
      <c r="I146" s="65" t="s">
        <v>416</v>
      </c>
      <c r="J146" s="46"/>
    </row>
    <row r="147" spans="9:10">
      <c r="I147" s="65" t="s">
        <v>417</v>
      </c>
      <c r="J147" s="46"/>
    </row>
    <row r="148" spans="9:10">
      <c r="I148" s="64" t="s">
        <v>418</v>
      </c>
      <c r="J148" s="46"/>
    </row>
    <row r="149" spans="9:10">
      <c r="I149" s="64" t="s">
        <v>419</v>
      </c>
      <c r="J149" s="46"/>
    </row>
    <row r="150" spans="9:10">
      <c r="I150" s="64" t="s">
        <v>420</v>
      </c>
      <c r="J150" s="46"/>
    </row>
    <row r="151" spans="9:10">
      <c r="I151" s="65" t="s">
        <v>421</v>
      </c>
      <c r="J151" s="46"/>
    </row>
    <row r="152" spans="9:10">
      <c r="I152" s="64" t="s">
        <v>422</v>
      </c>
      <c r="J152" s="46"/>
    </row>
    <row r="153" spans="9:10">
      <c r="I153" s="64" t="s">
        <v>423</v>
      </c>
      <c r="J153" s="46"/>
    </row>
    <row r="154" spans="9:10">
      <c r="I154" s="64" t="s">
        <v>424</v>
      </c>
      <c r="J154" s="46"/>
    </row>
    <row r="155" spans="9:10">
      <c r="I155" s="64" t="s">
        <v>425</v>
      </c>
      <c r="J155" s="46"/>
    </row>
    <row r="156" spans="9:10">
      <c r="I156" s="65" t="s">
        <v>426</v>
      </c>
      <c r="J156" s="46"/>
    </row>
    <row r="157" spans="9:10">
      <c r="I157" s="66" t="s">
        <v>427</v>
      </c>
      <c r="J157" s="46"/>
    </row>
    <row r="158" spans="9:10">
      <c r="I158" s="65" t="s">
        <v>428</v>
      </c>
      <c r="J158" s="46"/>
    </row>
    <row r="159" spans="9:10">
      <c r="I159" s="65" t="s">
        <v>429</v>
      </c>
      <c r="J159" s="46"/>
    </row>
    <row r="160" spans="9:10">
      <c r="I160" s="65" t="s">
        <v>430</v>
      </c>
      <c r="J160" s="46"/>
    </row>
    <row r="161" spans="9:10">
      <c r="I161" s="65" t="s">
        <v>431</v>
      </c>
      <c r="J161" s="46"/>
    </row>
    <row r="162" spans="9:10">
      <c r="I162" s="65" t="s">
        <v>432</v>
      </c>
      <c r="J162" s="46"/>
    </row>
    <row r="163" spans="9:10">
      <c r="I163" s="65" t="s">
        <v>433</v>
      </c>
      <c r="J163" s="46"/>
    </row>
    <row r="164" spans="9:10">
      <c r="I164" s="65" t="s">
        <v>434</v>
      </c>
      <c r="J164" s="46"/>
    </row>
    <row r="165" spans="9:10">
      <c r="I165" s="66" t="s">
        <v>435</v>
      </c>
      <c r="J165" s="46"/>
    </row>
    <row r="166" spans="9:10">
      <c r="I166" s="65" t="s">
        <v>436</v>
      </c>
      <c r="J166" s="46"/>
    </row>
    <row r="167" spans="9:10">
      <c r="I167" s="65" t="s">
        <v>437</v>
      </c>
      <c r="J167" s="46"/>
    </row>
    <row r="168" spans="9:10">
      <c r="I168" s="65" t="s">
        <v>438</v>
      </c>
      <c r="J168" s="46"/>
    </row>
    <row r="169" spans="9:10">
      <c r="I169" s="65" t="s">
        <v>439</v>
      </c>
      <c r="J169" s="46"/>
    </row>
    <row r="170" spans="9:10">
      <c r="I170" s="65" t="s">
        <v>440</v>
      </c>
      <c r="J170" s="46"/>
    </row>
    <row r="171" spans="9:10">
      <c r="I171" s="65" t="s">
        <v>441</v>
      </c>
      <c r="J171" s="46"/>
    </row>
    <row r="172" spans="9:10">
      <c r="I172" s="65" t="s">
        <v>442</v>
      </c>
      <c r="J172" s="46"/>
    </row>
    <row r="173" spans="9:10">
      <c r="I173" s="66" t="s">
        <v>443</v>
      </c>
      <c r="J173" s="46"/>
    </row>
    <row r="174" spans="9:10">
      <c r="I174" s="65" t="s">
        <v>444</v>
      </c>
      <c r="J174" s="46"/>
    </row>
    <row r="175" spans="9:10">
      <c r="I175" s="65" t="s">
        <v>445</v>
      </c>
      <c r="J175" s="46"/>
    </row>
    <row r="176" spans="9:10">
      <c r="I176" s="65" t="s">
        <v>446</v>
      </c>
      <c r="J176" s="46"/>
    </row>
    <row r="177" spans="8:10">
      <c r="I177" s="66" t="s">
        <v>447</v>
      </c>
      <c r="J177" s="46"/>
    </row>
    <row r="178" spans="8:10">
      <c r="I178" s="65" t="s">
        <v>448</v>
      </c>
      <c r="J178" s="46"/>
    </row>
    <row r="179" spans="8:10">
      <c r="I179" s="65" t="s">
        <v>449</v>
      </c>
      <c r="J179" s="46"/>
    </row>
    <row r="180" spans="8:10">
      <c r="I180" s="65" t="s">
        <v>450</v>
      </c>
      <c r="J180" s="46"/>
    </row>
    <row r="181" spans="8:10">
      <c r="I181" s="66" t="s">
        <v>451</v>
      </c>
      <c r="J181" s="46"/>
    </row>
    <row r="182" spans="8:10">
      <c r="I182" s="65" t="s">
        <v>452</v>
      </c>
      <c r="J182" s="46"/>
    </row>
    <row r="183" spans="8:10">
      <c r="I183" s="65" t="s">
        <v>453</v>
      </c>
      <c r="J183" s="46"/>
    </row>
    <row r="184" spans="8:10">
      <c r="I184" s="65" t="s">
        <v>454</v>
      </c>
      <c r="J184" s="46"/>
    </row>
    <row r="185" spans="8:10">
      <c r="I185" s="66" t="s">
        <v>455</v>
      </c>
      <c r="J185" s="46"/>
    </row>
    <row r="186" spans="8:10">
      <c r="I186" s="65" t="s">
        <v>456</v>
      </c>
      <c r="J186" s="46"/>
    </row>
    <row r="187" spans="8:10">
      <c r="I187" s="65" t="s">
        <v>457</v>
      </c>
      <c r="J187" s="46"/>
    </row>
    <row r="188" spans="8:10">
      <c r="I188" s="65" t="s">
        <v>458</v>
      </c>
      <c r="J188" s="46"/>
    </row>
    <row r="189" spans="8:10">
      <c r="I189" s="65" t="s">
        <v>459</v>
      </c>
      <c r="J189" s="46"/>
    </row>
    <row r="190" spans="8:10">
      <c r="I190" s="65" t="s">
        <v>460</v>
      </c>
      <c r="J190" s="46"/>
    </row>
    <row r="191" spans="8:10" ht="28.5">
      <c r="I191" s="65" t="s">
        <v>461</v>
      </c>
      <c r="J191" s="46"/>
    </row>
    <row r="192" spans="8:10" ht="28.5">
      <c r="H192" s="61" t="s">
        <v>462</v>
      </c>
      <c r="I192" s="61" t="s">
        <v>463</v>
      </c>
      <c r="J192" s="61" t="s">
        <v>464</v>
      </c>
    </row>
    <row r="193" spans="8:10" ht="28.5">
      <c r="H193" s="65" t="s">
        <v>465</v>
      </c>
      <c r="I193" s="46" t="s">
        <v>466</v>
      </c>
      <c r="J193" s="46" t="s">
        <v>467</v>
      </c>
    </row>
    <row r="194" spans="8:10">
      <c r="H194" s="65" t="s">
        <v>468</v>
      </c>
      <c r="I194" s="46" t="s">
        <v>469</v>
      </c>
      <c r="J194" s="46" t="s">
        <v>470</v>
      </c>
    </row>
    <row r="195" spans="8:10">
      <c r="H195" s="65" t="s">
        <v>468</v>
      </c>
      <c r="I195" s="46" t="s">
        <v>471</v>
      </c>
      <c r="J195" s="46" t="s">
        <v>472</v>
      </c>
    </row>
    <row r="196" spans="8:10">
      <c r="H196" s="65" t="s">
        <v>473</v>
      </c>
      <c r="I196" s="46" t="s">
        <v>474</v>
      </c>
      <c r="J196" s="46" t="s">
        <v>475</v>
      </c>
    </row>
    <row r="197" spans="8:10">
      <c r="H197" s="65" t="s">
        <v>473</v>
      </c>
      <c r="I197" s="46" t="s">
        <v>476</v>
      </c>
      <c r="J197" s="46" t="s">
        <v>477</v>
      </c>
    </row>
    <row r="198" spans="8:10">
      <c r="H198" s="65" t="s">
        <v>478</v>
      </c>
      <c r="I198" s="46" t="s">
        <v>479</v>
      </c>
      <c r="J198" s="46" t="s">
        <v>480</v>
      </c>
    </row>
    <row r="199" spans="8:10">
      <c r="H199" s="65" t="s">
        <v>481</v>
      </c>
      <c r="I199" s="46" t="s">
        <v>482</v>
      </c>
      <c r="J199" s="46" t="s">
        <v>483</v>
      </c>
    </row>
    <row r="200" spans="8:10">
      <c r="H200" s="65" t="s">
        <v>484</v>
      </c>
      <c r="I200" s="46" t="s">
        <v>485</v>
      </c>
      <c r="J200" s="46" t="s">
        <v>486</v>
      </c>
    </row>
    <row r="201" spans="8:10" ht="42.75">
      <c r="I201" s="65" t="s">
        <v>487</v>
      </c>
      <c r="J201" s="46"/>
    </row>
    <row r="202" spans="8:10">
      <c r="I202" s="62" t="s">
        <v>488</v>
      </c>
      <c r="J202" s="46"/>
    </row>
    <row r="203" spans="8:10">
      <c r="I203" s="65" t="s">
        <v>489</v>
      </c>
      <c r="J203" s="46"/>
    </row>
    <row r="204" spans="8:10">
      <c r="I204" s="67" t="s">
        <v>490</v>
      </c>
      <c r="J204" s="46"/>
    </row>
    <row r="205" spans="8:10">
      <c r="I205" s="67" t="s">
        <v>491</v>
      </c>
      <c r="J205" s="46"/>
    </row>
    <row r="206" spans="8:10">
      <c r="I206" s="67" t="s">
        <v>492</v>
      </c>
      <c r="J206" s="46"/>
    </row>
    <row r="207" spans="8:10">
      <c r="I207" s="67" t="s">
        <v>493</v>
      </c>
      <c r="J207" s="46"/>
    </row>
    <row r="208" spans="8:10">
      <c r="I208" s="65" t="s">
        <v>494</v>
      </c>
      <c r="J208" s="46"/>
    </row>
    <row r="209" spans="9:10">
      <c r="I209" s="67" t="s">
        <v>495</v>
      </c>
      <c r="J209" s="46"/>
    </row>
    <row r="210" spans="9:10">
      <c r="I210" s="67" t="s">
        <v>496</v>
      </c>
      <c r="J210" s="46"/>
    </row>
    <row r="211" spans="9:10">
      <c r="I211" s="67" t="s">
        <v>497</v>
      </c>
      <c r="J211" s="46"/>
    </row>
    <row r="212" spans="9:10">
      <c r="I212" s="67" t="s">
        <v>498</v>
      </c>
      <c r="J212" s="46"/>
    </row>
    <row r="213" spans="9:10" ht="42.75">
      <c r="I213" s="65" t="s">
        <v>499</v>
      </c>
      <c r="J213" s="46"/>
    </row>
  </sheetData>
  <mergeCells count="20">
    <mergeCell ref="B18:E18"/>
    <mergeCell ref="B17:E17"/>
    <mergeCell ref="B16:E16"/>
    <mergeCell ref="G13:G14"/>
    <mergeCell ref="E13:F13"/>
    <mergeCell ref="E14:F14"/>
    <mergeCell ref="B14:C14"/>
    <mergeCell ref="D9:D13"/>
    <mergeCell ref="E2:G2"/>
    <mergeCell ref="B2:D2"/>
    <mergeCell ref="B4:G4"/>
    <mergeCell ref="G8:G12"/>
    <mergeCell ref="B1:G1"/>
    <mergeCell ref="B6:C6"/>
    <mergeCell ref="B7:C7"/>
    <mergeCell ref="B8:C8"/>
    <mergeCell ref="E6:F6"/>
    <mergeCell ref="E7:F7"/>
    <mergeCell ref="B3:D3"/>
    <mergeCell ref="E3:G3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C62B-A3FB-40E2-82A4-92252E72B36D}">
  <sheetPr>
    <tabColor rgb="FFFF0000"/>
  </sheetPr>
  <dimension ref="A2:Z28"/>
  <sheetViews>
    <sheetView workbookViewId="0">
      <selection activeCell="J19" sqref="J19"/>
    </sheetView>
  </sheetViews>
  <sheetFormatPr defaultRowHeight="14.25"/>
  <cols>
    <col min="1" max="1" width="7.125" bestFit="1" customWidth="1"/>
    <col min="8" max="8" width="10.375" customWidth="1"/>
    <col min="9" max="9" width="10.75" customWidth="1"/>
    <col min="10" max="11" width="10" customWidth="1"/>
  </cols>
  <sheetData>
    <row r="2" spans="1:26" ht="42.75">
      <c r="B2" s="2" t="s">
        <v>1159</v>
      </c>
      <c r="C2" s="2" t="s">
        <v>1144</v>
      </c>
      <c r="D2" s="266" t="s">
        <v>423</v>
      </c>
      <c r="E2" s="266"/>
      <c r="F2" s="266"/>
      <c r="G2" s="266"/>
      <c r="H2" s="266" t="s">
        <v>1053</v>
      </c>
      <c r="I2" s="266"/>
      <c r="J2" s="266"/>
      <c r="K2" s="266"/>
      <c r="L2" s="266" t="s">
        <v>1117</v>
      </c>
      <c r="M2" s="266"/>
      <c r="N2" s="266"/>
      <c r="O2" s="266"/>
      <c r="P2" s="266" t="s">
        <v>1075</v>
      </c>
      <c r="Q2" s="266"/>
      <c r="R2" s="266"/>
      <c r="S2" s="266"/>
      <c r="T2" s="261" t="s">
        <v>1101</v>
      </c>
      <c r="U2" s="262"/>
      <c r="V2" s="262"/>
      <c r="W2" s="263"/>
      <c r="Y2" s="2" t="s">
        <v>1158</v>
      </c>
      <c r="Z2" s="2" t="s">
        <v>1160</v>
      </c>
    </row>
    <row r="3" spans="1:26" ht="42.75">
      <c r="B3" s="48" t="s">
        <v>1162</v>
      </c>
      <c r="C3" s="2" t="s">
        <v>1145</v>
      </c>
      <c r="D3" s="108" t="s">
        <v>1133</v>
      </c>
      <c r="E3" s="108" t="s">
        <v>1134</v>
      </c>
      <c r="F3" s="108" t="s">
        <v>1135</v>
      </c>
      <c r="G3" s="108" t="s">
        <v>1136</v>
      </c>
      <c r="H3" s="48" t="s">
        <v>1054</v>
      </c>
      <c r="I3" s="48" t="s">
        <v>1055</v>
      </c>
      <c r="J3" s="48" t="s">
        <v>1056</v>
      </c>
      <c r="K3" s="52" t="s">
        <v>1197</v>
      </c>
      <c r="L3" s="48" t="s">
        <v>1118</v>
      </c>
      <c r="M3" s="48" t="s">
        <v>1119</v>
      </c>
      <c r="N3" s="48" t="s">
        <v>1120</v>
      </c>
      <c r="O3" s="48" t="s">
        <v>1121</v>
      </c>
      <c r="P3" s="48" t="s">
        <v>1076</v>
      </c>
      <c r="Q3" s="48" t="s">
        <v>1077</v>
      </c>
      <c r="R3" s="48" t="s">
        <v>1078</v>
      </c>
      <c r="S3" s="48" t="s">
        <v>1079</v>
      </c>
      <c r="T3" s="48" t="s">
        <v>287</v>
      </c>
      <c r="U3" s="48" t="s">
        <v>1102</v>
      </c>
      <c r="V3" s="48" t="s">
        <v>1103</v>
      </c>
      <c r="W3" s="48" t="s">
        <v>1204</v>
      </c>
      <c r="Y3" s="48" t="s">
        <v>1161</v>
      </c>
      <c r="Z3" s="48" t="s">
        <v>1163</v>
      </c>
    </row>
    <row r="4" spans="1:26" ht="28.5">
      <c r="B4" s="48" t="s">
        <v>1164</v>
      </c>
      <c r="C4" s="48" t="s">
        <v>1146</v>
      </c>
      <c r="D4" s="109" t="s">
        <v>292</v>
      </c>
      <c r="E4" s="109" t="s">
        <v>1137</v>
      </c>
      <c r="F4" s="109"/>
      <c r="G4" s="109"/>
      <c r="H4" s="52" t="s">
        <v>1194</v>
      </c>
      <c r="I4" s="2" t="s">
        <v>1057</v>
      </c>
      <c r="J4" s="2" t="s">
        <v>1058</v>
      </c>
      <c r="K4" s="52" t="s">
        <v>1198</v>
      </c>
      <c r="L4" s="2" t="s">
        <v>1122</v>
      </c>
      <c r="M4" s="2" t="s">
        <v>1123</v>
      </c>
      <c r="N4" s="2"/>
      <c r="O4" s="2" t="s">
        <v>1124</v>
      </c>
      <c r="P4" s="2" t="s">
        <v>1080</v>
      </c>
      <c r="Q4" s="2" t="s">
        <v>1081</v>
      </c>
      <c r="R4" s="2" t="s">
        <v>1082</v>
      </c>
      <c r="S4" s="2" t="s">
        <v>1083</v>
      </c>
      <c r="T4" s="2" t="s">
        <v>1104</v>
      </c>
      <c r="U4" s="2" t="s">
        <v>295</v>
      </c>
      <c r="V4" s="2" t="s">
        <v>1105</v>
      </c>
      <c r="W4" s="2" t="s">
        <v>1106</v>
      </c>
      <c r="Y4" s="48" t="s">
        <v>1170</v>
      </c>
      <c r="Z4" s="48" t="s">
        <v>1165</v>
      </c>
    </row>
    <row r="5" spans="1:26" ht="28.5">
      <c r="B5" s="48" t="s">
        <v>1166</v>
      </c>
      <c r="C5" s="48" t="s">
        <v>1147</v>
      </c>
      <c r="D5" s="109" t="s">
        <v>1138</v>
      </c>
      <c r="E5" s="109" t="s">
        <v>1139</v>
      </c>
      <c r="F5" s="109"/>
      <c r="G5" s="109"/>
      <c r="H5" s="52" t="s">
        <v>1063</v>
      </c>
      <c r="I5" s="2" t="s">
        <v>1059</v>
      </c>
      <c r="J5" s="2" t="s">
        <v>1060</v>
      </c>
      <c r="K5" s="52" t="s">
        <v>1199</v>
      </c>
      <c r="L5" s="2" t="s">
        <v>1125</v>
      </c>
      <c r="M5" s="2" t="s">
        <v>1126</v>
      </c>
      <c r="N5" s="2"/>
      <c r="O5" s="2" t="s">
        <v>1127</v>
      </c>
      <c r="P5" s="2" t="s">
        <v>1084</v>
      </c>
      <c r="Q5" s="2" t="s">
        <v>1061</v>
      </c>
      <c r="R5" s="2" t="s">
        <v>1085</v>
      </c>
      <c r="S5" s="2" t="s">
        <v>1086</v>
      </c>
      <c r="T5" s="2" t="s">
        <v>1107</v>
      </c>
      <c r="U5" s="2" t="s">
        <v>297</v>
      </c>
      <c r="V5" s="2" t="s">
        <v>1108</v>
      </c>
      <c r="W5" s="2" t="s">
        <v>1109</v>
      </c>
      <c r="Y5" s="48" t="s">
        <v>1173</v>
      </c>
      <c r="Z5" s="48" t="s">
        <v>1167</v>
      </c>
    </row>
    <row r="6" spans="1:26" ht="28.5">
      <c r="B6" s="48" t="s">
        <v>1168</v>
      </c>
      <c r="C6" s="48" t="s">
        <v>1148</v>
      </c>
      <c r="D6" s="109" t="s">
        <v>1140</v>
      </c>
      <c r="E6" s="109" t="s">
        <v>1141</v>
      </c>
      <c r="F6" s="109"/>
      <c r="G6" s="109"/>
      <c r="H6" s="52" t="s">
        <v>1195</v>
      </c>
      <c r="I6" s="2" t="s">
        <v>1061</v>
      </c>
      <c r="J6" s="2" t="s">
        <v>1062</v>
      </c>
      <c r="K6" s="52" t="s">
        <v>1200</v>
      </c>
      <c r="L6" s="2" t="s">
        <v>1128</v>
      </c>
      <c r="M6" s="2"/>
      <c r="N6" s="2"/>
      <c r="O6" s="2"/>
      <c r="P6" s="2" t="s">
        <v>1087</v>
      </c>
      <c r="Q6" s="2" t="s">
        <v>1088</v>
      </c>
      <c r="R6" s="2" t="s">
        <v>1089</v>
      </c>
      <c r="S6" s="2" t="s">
        <v>1090</v>
      </c>
      <c r="T6" s="2" t="s">
        <v>1110</v>
      </c>
      <c r="U6" s="2" t="s">
        <v>1111</v>
      </c>
      <c r="V6" s="2"/>
      <c r="W6" s="2"/>
      <c r="Y6" s="48" t="s">
        <v>1176</v>
      </c>
      <c r="Z6" s="48" t="s">
        <v>1169</v>
      </c>
    </row>
    <row r="7" spans="1:26" ht="28.5">
      <c r="B7" s="48" t="s">
        <v>1171</v>
      </c>
      <c r="C7" s="48" t="s">
        <v>1149</v>
      </c>
      <c r="D7" s="109" t="s">
        <v>1142</v>
      </c>
      <c r="E7" s="109"/>
      <c r="F7" s="109"/>
      <c r="G7" s="109"/>
      <c r="H7" s="52" t="s">
        <v>1196</v>
      </c>
      <c r="I7" s="2" t="s">
        <v>1064</v>
      </c>
      <c r="J7" s="2" t="s">
        <v>1065</v>
      </c>
      <c r="K7" s="52" t="s">
        <v>1201</v>
      </c>
      <c r="L7" s="2"/>
      <c r="M7" s="2"/>
      <c r="N7" s="2"/>
      <c r="O7" s="2"/>
      <c r="P7" s="2" t="s">
        <v>1091</v>
      </c>
      <c r="Q7" s="2" t="s">
        <v>1092</v>
      </c>
      <c r="R7" s="2" t="s">
        <v>1093</v>
      </c>
      <c r="S7" s="2" t="s">
        <v>1094</v>
      </c>
      <c r="T7" s="2"/>
      <c r="U7" s="2"/>
      <c r="V7" s="2"/>
      <c r="W7" s="2"/>
      <c r="Y7" s="48" t="s">
        <v>1178</v>
      </c>
      <c r="Z7" s="48" t="s">
        <v>1172</v>
      </c>
    </row>
    <row r="8" spans="1:26">
      <c r="B8" s="48" t="s">
        <v>1174</v>
      </c>
      <c r="C8" s="48" t="s">
        <v>1150</v>
      </c>
      <c r="D8" s="109" t="s">
        <v>1143</v>
      </c>
      <c r="E8" s="109"/>
      <c r="F8" s="109"/>
      <c r="G8" s="109"/>
      <c r="H8" s="2"/>
      <c r="I8" s="2"/>
      <c r="J8" s="2"/>
      <c r="K8" s="55"/>
      <c r="L8" s="2"/>
      <c r="M8" s="2"/>
      <c r="N8" s="2"/>
      <c r="O8" s="2"/>
      <c r="P8" s="2" t="s">
        <v>1095</v>
      </c>
      <c r="Q8" s="2"/>
      <c r="R8" s="2"/>
      <c r="S8" s="2"/>
      <c r="T8" s="2"/>
      <c r="U8" s="2"/>
      <c r="V8" s="2"/>
      <c r="W8" s="2"/>
      <c r="Y8" s="48" t="s">
        <v>1179</v>
      </c>
      <c r="Z8" s="48" t="s">
        <v>1175</v>
      </c>
    </row>
    <row r="9" spans="1:26">
      <c r="B9" s="48" t="s">
        <v>1177</v>
      </c>
      <c r="C9" s="48" t="s">
        <v>1153</v>
      </c>
      <c r="D9" s="109"/>
      <c r="E9" s="109"/>
      <c r="F9" s="109"/>
      <c r="G9" s="109"/>
      <c r="H9" s="2"/>
      <c r="I9" s="2"/>
      <c r="J9" s="2"/>
      <c r="K9" s="55"/>
      <c r="L9" s="2"/>
      <c r="M9" s="2"/>
      <c r="N9" s="2"/>
      <c r="O9" s="2"/>
      <c r="P9" s="2" t="s">
        <v>1096</v>
      </c>
      <c r="Q9" s="2"/>
      <c r="R9" s="2"/>
      <c r="S9" s="2"/>
      <c r="T9" s="2"/>
      <c r="U9" s="2"/>
      <c r="V9" s="2"/>
      <c r="W9" s="2"/>
      <c r="Z9" s="2"/>
    </row>
    <row r="10" spans="1:26" ht="28.5">
      <c r="A10" s="1" t="s">
        <v>433</v>
      </c>
      <c r="B10" s="2" t="s">
        <v>1181</v>
      </c>
      <c r="C10" s="48" t="s">
        <v>1152</v>
      </c>
      <c r="H10" s="99" t="s">
        <v>1130</v>
      </c>
      <c r="I10" s="48" t="s">
        <v>1066</v>
      </c>
      <c r="J10" s="48" t="s">
        <v>1067</v>
      </c>
      <c r="K10" s="102" t="s">
        <v>1202</v>
      </c>
      <c r="L10" s="48" t="s">
        <v>1129</v>
      </c>
      <c r="M10" s="1"/>
      <c r="N10" s="1"/>
      <c r="P10" s="48" t="s">
        <v>1097</v>
      </c>
      <c r="Q10" s="48" t="s">
        <v>1098</v>
      </c>
      <c r="R10" s="1"/>
      <c r="S10" s="1"/>
      <c r="T10" s="99" t="s">
        <v>1112</v>
      </c>
      <c r="U10" s="48" t="s">
        <v>1113</v>
      </c>
      <c r="V10" s="1"/>
      <c r="W10" s="1"/>
      <c r="Y10" s="48" t="s">
        <v>1180</v>
      </c>
      <c r="Z10" s="48" t="s">
        <v>1182</v>
      </c>
    </row>
    <row r="11" spans="1:26" ht="42.75">
      <c r="B11" s="48" t="s">
        <v>1184</v>
      </c>
      <c r="C11" s="48" t="s">
        <v>1154</v>
      </c>
      <c r="H11" s="100" t="s">
        <v>1724</v>
      </c>
      <c r="I11" s="101" t="s">
        <v>1068</v>
      </c>
      <c r="J11" s="101" t="s">
        <v>1069</v>
      </c>
      <c r="L11" s="101" t="s">
        <v>1131</v>
      </c>
      <c r="M11" s="1"/>
      <c r="N11" s="1"/>
      <c r="P11" s="101" t="s">
        <v>1099</v>
      </c>
      <c r="Q11" s="101" t="s">
        <v>1100</v>
      </c>
      <c r="R11" s="1"/>
      <c r="S11" s="1"/>
      <c r="T11" s="100" t="s">
        <v>1114</v>
      </c>
      <c r="U11" s="101" t="s">
        <v>1115</v>
      </c>
      <c r="V11" s="1"/>
      <c r="W11" s="1"/>
      <c r="Y11" s="2" t="s">
        <v>1183</v>
      </c>
      <c r="Z11" s="48" t="s">
        <v>1185</v>
      </c>
    </row>
    <row r="12" spans="1:26" ht="42.75">
      <c r="B12" s="2" t="s">
        <v>292</v>
      </c>
      <c r="C12" s="48" t="s">
        <v>1155</v>
      </c>
      <c r="I12" s="101" t="s">
        <v>1070</v>
      </c>
      <c r="J12" s="101" t="s">
        <v>1071</v>
      </c>
      <c r="L12" s="101" t="s">
        <v>1132</v>
      </c>
      <c r="M12" s="1"/>
      <c r="N12" s="1"/>
      <c r="P12" s="101" t="s">
        <v>1203</v>
      </c>
      <c r="R12" s="1"/>
      <c r="S12" s="1"/>
      <c r="T12" s="1"/>
      <c r="U12" s="101" t="s">
        <v>1116</v>
      </c>
      <c r="V12" s="1"/>
      <c r="W12" s="1"/>
      <c r="Y12" s="48" t="s">
        <v>1186</v>
      </c>
      <c r="Z12" s="48" t="s">
        <v>1187</v>
      </c>
    </row>
    <row r="13" spans="1:26" ht="28.5">
      <c r="B13" s="2" t="s">
        <v>1189</v>
      </c>
      <c r="C13" s="48" t="s">
        <v>1151</v>
      </c>
      <c r="I13" s="101" t="s">
        <v>1072</v>
      </c>
      <c r="J13" s="101" t="s">
        <v>1073</v>
      </c>
      <c r="M13" s="1"/>
      <c r="N13" s="1"/>
      <c r="Q13" s="1"/>
      <c r="R13" s="1"/>
      <c r="S13" s="1"/>
      <c r="T13" s="1"/>
      <c r="V13" s="1"/>
      <c r="W13" s="1"/>
      <c r="Y13" s="2" t="s">
        <v>1188</v>
      </c>
      <c r="Z13" s="48" t="s">
        <v>1190</v>
      </c>
    </row>
    <row r="14" spans="1:26" ht="28.5">
      <c r="B14" s="2" t="s">
        <v>1191</v>
      </c>
      <c r="C14" s="48" t="s">
        <v>1156</v>
      </c>
      <c r="J14" s="101" t="s">
        <v>1074</v>
      </c>
      <c r="Y14" s="1"/>
      <c r="Z14" s="1"/>
    </row>
    <row r="15" spans="1:26">
      <c r="B15" s="2" t="s">
        <v>1192</v>
      </c>
      <c r="C15" s="2" t="s">
        <v>433</v>
      </c>
      <c r="H15" s="1"/>
      <c r="J15" s="1"/>
      <c r="Y15" s="1"/>
      <c r="Z15" s="1"/>
    </row>
    <row r="16" spans="1:26" ht="28.5">
      <c r="B16" s="2" t="s">
        <v>1193</v>
      </c>
      <c r="C16" s="2" t="s">
        <v>1157</v>
      </c>
      <c r="Y16" s="1"/>
      <c r="Z16" s="1"/>
    </row>
    <row r="17" spans="2:26">
      <c r="Y17" s="1"/>
      <c r="Z17" s="1"/>
    </row>
    <row r="18" spans="2:26">
      <c r="Y18" s="1"/>
      <c r="Z18" s="1"/>
    </row>
    <row r="19" spans="2:26">
      <c r="Y19" s="1"/>
      <c r="Z19" s="1"/>
    </row>
    <row r="20" spans="2:26">
      <c r="Y20" s="1"/>
      <c r="Z20" s="1"/>
    </row>
    <row r="21" spans="2:26" ht="23.25">
      <c r="B21" s="112" t="s">
        <v>2429</v>
      </c>
      <c r="C21" s="112" t="s">
        <v>2436</v>
      </c>
    </row>
    <row r="22" spans="2:26">
      <c r="B22" t="s">
        <v>2430</v>
      </c>
    </row>
    <row r="23" spans="2:26">
      <c r="B23" t="s">
        <v>1886</v>
      </c>
      <c r="C23" t="s">
        <v>1886</v>
      </c>
    </row>
    <row r="24" spans="2:26">
      <c r="B24" s="96" t="s">
        <v>2431</v>
      </c>
      <c r="C24" s="96" t="s">
        <v>2437</v>
      </c>
    </row>
    <row r="25" spans="2:26">
      <c r="B25" s="96" t="s">
        <v>2432</v>
      </c>
      <c r="C25" s="96" t="s">
        <v>2438</v>
      </c>
    </row>
    <row r="26" spans="2:26">
      <c r="B26" s="96" t="s">
        <v>2433</v>
      </c>
      <c r="C26" s="96" t="s">
        <v>2439</v>
      </c>
    </row>
    <row r="27" spans="2:26">
      <c r="B27" s="96" t="s">
        <v>2434</v>
      </c>
      <c r="C27" s="96" t="s">
        <v>2440</v>
      </c>
    </row>
    <row r="28" spans="2:26">
      <c r="B28" s="96" t="s">
        <v>2435</v>
      </c>
      <c r="C28" s="96" t="s">
        <v>1107</v>
      </c>
    </row>
  </sheetData>
  <mergeCells count="5">
    <mergeCell ref="P2:S2"/>
    <mergeCell ref="L2:O2"/>
    <mergeCell ref="D2:G2"/>
    <mergeCell ref="T2:W2"/>
    <mergeCell ref="H2:K2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80379-95EF-4095-9D43-A3E635B04BFC}">
  <sheetPr>
    <tabColor rgb="FFFF0000"/>
  </sheetPr>
  <dimension ref="A1"/>
  <sheetViews>
    <sheetView workbookViewId="0">
      <selection activeCell="M32" sqref="M32"/>
    </sheetView>
  </sheetViews>
  <sheetFormatPr defaultRowHeight="14.25"/>
  <sheetData/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AECE9-FF7F-48C2-B21D-F1723DA794AD}">
  <sheetPr>
    <tabColor rgb="FFFF0000"/>
  </sheetPr>
  <dimension ref="A2:N41"/>
  <sheetViews>
    <sheetView topLeftCell="A12" workbookViewId="0">
      <selection activeCell="E34" sqref="E34"/>
    </sheetView>
  </sheetViews>
  <sheetFormatPr defaultRowHeight="14.25"/>
  <cols>
    <col min="1" max="1" width="9" style="46"/>
    <col min="2" max="12" width="16" style="46" customWidth="1"/>
    <col min="13" max="13" width="22.5" style="46" bestFit="1" customWidth="1"/>
    <col min="14" max="14" width="31.75" style="46" bestFit="1" customWidth="1"/>
    <col min="15" max="16384" width="9" style="46"/>
  </cols>
  <sheetData>
    <row r="2" spans="1:14">
      <c r="B2" s="227" t="s">
        <v>1206</v>
      </c>
      <c r="C2" s="227"/>
      <c r="D2" s="227"/>
      <c r="E2" s="227"/>
      <c r="F2" s="227"/>
      <c r="G2" s="227"/>
      <c r="H2" s="227"/>
      <c r="I2" s="227" t="s">
        <v>1652</v>
      </c>
      <c r="J2" s="227"/>
      <c r="K2" s="227"/>
      <c r="L2" s="227"/>
      <c r="M2" s="122" t="s">
        <v>1205</v>
      </c>
      <c r="N2" s="46" t="s">
        <v>1530</v>
      </c>
    </row>
    <row r="3" spans="1:14">
      <c r="B3" s="122" t="s">
        <v>1208</v>
      </c>
      <c r="C3" s="122" t="s">
        <v>1209</v>
      </c>
      <c r="D3" s="122" t="s">
        <v>1210</v>
      </c>
      <c r="E3" s="227" t="s">
        <v>1211</v>
      </c>
      <c r="F3" s="227"/>
      <c r="G3" s="227"/>
      <c r="H3" s="122" t="s">
        <v>1592</v>
      </c>
      <c r="I3" s="122" t="s">
        <v>1656</v>
      </c>
      <c r="J3" s="124" t="s">
        <v>1657</v>
      </c>
      <c r="K3" s="124" t="s">
        <v>1684</v>
      </c>
      <c r="L3" s="124" t="s">
        <v>1516</v>
      </c>
      <c r="M3" s="122" t="s">
        <v>1207</v>
      </c>
      <c r="N3" s="46" t="s">
        <v>1531</v>
      </c>
    </row>
    <row r="4" spans="1:14">
      <c r="B4" s="54"/>
      <c r="C4" s="122"/>
      <c r="D4" s="122"/>
      <c r="E4" s="122" t="s">
        <v>1213</v>
      </c>
      <c r="F4" s="122" t="s">
        <v>1214</v>
      </c>
      <c r="G4" s="122" t="s">
        <v>1215</v>
      </c>
      <c r="H4" s="122"/>
      <c r="I4" s="122"/>
      <c r="J4" s="122"/>
      <c r="K4" s="122"/>
      <c r="L4" s="122"/>
      <c r="M4" s="122" t="s">
        <v>1725</v>
      </c>
    </row>
    <row r="5" spans="1:14">
      <c r="B5" s="129" t="s">
        <v>1212</v>
      </c>
      <c r="C5" s="54"/>
      <c r="D5" s="54"/>
      <c r="E5" s="129" t="s">
        <v>1216</v>
      </c>
      <c r="F5" s="54"/>
      <c r="G5" s="129" t="s">
        <v>1217</v>
      </c>
      <c r="H5" s="54"/>
      <c r="I5" s="122"/>
      <c r="J5" s="54"/>
      <c r="K5" s="54"/>
      <c r="L5" s="54"/>
      <c r="M5" s="122" t="s">
        <v>1239</v>
      </c>
    </row>
    <row r="6" spans="1:14">
      <c r="B6" s="129" t="s">
        <v>227</v>
      </c>
      <c r="C6" s="54"/>
      <c r="D6" s="54"/>
      <c r="F6" s="54"/>
      <c r="G6" s="54"/>
      <c r="H6" s="54"/>
      <c r="I6" s="122"/>
      <c r="J6" s="122"/>
      <c r="K6" s="122"/>
      <c r="L6" s="122"/>
      <c r="M6" s="122" t="s">
        <v>1727</v>
      </c>
    </row>
    <row r="7" spans="1:14" ht="28.5">
      <c r="A7" s="46" t="s">
        <v>1655</v>
      </c>
      <c r="B7" s="110" t="s">
        <v>1218</v>
      </c>
      <c r="C7" s="110" t="s">
        <v>1728</v>
      </c>
      <c r="D7" s="110" t="s">
        <v>225</v>
      </c>
      <c r="E7" s="110" t="s">
        <v>1223</v>
      </c>
      <c r="F7" s="110" t="s">
        <v>1220</v>
      </c>
      <c r="H7" s="110" t="s">
        <v>1689</v>
      </c>
      <c r="J7" s="54"/>
      <c r="K7" s="54"/>
      <c r="L7" s="54"/>
      <c r="M7" s="122" t="s">
        <v>1240</v>
      </c>
    </row>
    <row r="8" spans="1:14">
      <c r="A8" s="46" t="s">
        <v>1661</v>
      </c>
      <c r="B8" s="122" t="s">
        <v>1226</v>
      </c>
      <c r="C8" s="122" t="s">
        <v>1222</v>
      </c>
      <c r="D8" s="122" t="s">
        <v>1227</v>
      </c>
      <c r="E8" s="122" t="s">
        <v>1228</v>
      </c>
      <c r="F8" s="122" t="s">
        <v>1224</v>
      </c>
      <c r="G8" s="124" t="s">
        <v>1729</v>
      </c>
      <c r="H8" s="122" t="s">
        <v>1593</v>
      </c>
      <c r="I8" s="122" t="s">
        <v>1668</v>
      </c>
      <c r="K8" s="122"/>
      <c r="L8" s="122"/>
      <c r="M8" s="122" t="s">
        <v>1241</v>
      </c>
    </row>
    <row r="9" spans="1:14">
      <c r="A9" s="46" t="s">
        <v>1664</v>
      </c>
      <c r="C9" s="122" t="s">
        <v>1221</v>
      </c>
      <c r="D9" s="122" t="s">
        <v>1232</v>
      </c>
      <c r="E9" s="122" t="s">
        <v>1233</v>
      </c>
      <c r="F9" s="122" t="s">
        <v>1229</v>
      </c>
      <c r="G9" s="124" t="s">
        <v>1704</v>
      </c>
      <c r="H9" s="122" t="s">
        <v>1667</v>
      </c>
      <c r="I9" s="122" t="s">
        <v>1658</v>
      </c>
      <c r="J9" s="122" t="s">
        <v>1659</v>
      </c>
      <c r="K9" s="122"/>
      <c r="L9" s="122"/>
      <c r="M9" s="122" t="s">
        <v>1726</v>
      </c>
    </row>
    <row r="10" spans="1:14">
      <c r="A10" s="46" t="s">
        <v>1665</v>
      </c>
      <c r="D10" s="124" t="s">
        <v>1649</v>
      </c>
      <c r="E10" s="122" t="s">
        <v>1236</v>
      </c>
      <c r="F10" s="122" t="s">
        <v>1234</v>
      </c>
      <c r="G10" s="124" t="s">
        <v>1235</v>
      </c>
      <c r="H10" s="130" t="s">
        <v>1731</v>
      </c>
      <c r="I10" s="124" t="s">
        <v>1671</v>
      </c>
      <c r="J10" s="122" t="s">
        <v>1674</v>
      </c>
      <c r="K10" s="122"/>
      <c r="L10" s="122"/>
      <c r="M10" s="122" t="s">
        <v>1242</v>
      </c>
    </row>
    <row r="11" spans="1:14">
      <c r="A11" s="46" t="s">
        <v>1666</v>
      </c>
      <c r="B11" s="122" t="s">
        <v>1231</v>
      </c>
      <c r="C11" s="123"/>
      <c r="D11" s="124" t="s">
        <v>1650</v>
      </c>
      <c r="E11" s="122" t="s">
        <v>1219</v>
      </c>
      <c r="F11" s="122" t="s">
        <v>1237</v>
      </c>
      <c r="G11" s="122" t="s">
        <v>1225</v>
      </c>
      <c r="H11" s="122" t="s">
        <v>1688</v>
      </c>
      <c r="I11" s="124" t="s">
        <v>1669</v>
      </c>
      <c r="J11" s="122" t="s">
        <v>1672</v>
      </c>
      <c r="K11" s="122" t="s">
        <v>1685</v>
      </c>
      <c r="L11" s="131"/>
      <c r="M11" s="122" t="s">
        <v>1243</v>
      </c>
    </row>
    <row r="12" spans="1:14">
      <c r="A12" s="46" t="s">
        <v>11</v>
      </c>
      <c r="B12" s="123"/>
      <c r="C12" s="123"/>
      <c r="E12" s="122" t="s">
        <v>1720</v>
      </c>
      <c r="F12" s="122" t="s">
        <v>1238</v>
      </c>
      <c r="G12" s="122" t="s">
        <v>1230</v>
      </c>
      <c r="I12" s="122" t="s">
        <v>1670</v>
      </c>
      <c r="J12" s="122" t="s">
        <v>1673</v>
      </c>
      <c r="K12" s="122" t="s">
        <v>1686</v>
      </c>
      <c r="L12" s="131"/>
    </row>
    <row r="13" spans="1:14">
      <c r="A13" s="46" t="s">
        <v>1675</v>
      </c>
      <c r="B13" s="123"/>
      <c r="C13" s="123"/>
      <c r="D13" s="123"/>
      <c r="E13" s="122" t="s">
        <v>1730</v>
      </c>
      <c r="F13" s="122" t="s">
        <v>1594</v>
      </c>
      <c r="G13" s="132" t="s">
        <v>1705</v>
      </c>
      <c r="H13" s="123"/>
      <c r="I13" s="122" t="s">
        <v>1653</v>
      </c>
      <c r="J13" s="122" t="s">
        <v>1681</v>
      </c>
      <c r="K13" s="122" t="s">
        <v>1687</v>
      </c>
      <c r="L13" s="131"/>
    </row>
    <row r="14" spans="1:14">
      <c r="A14" s="46" t="s">
        <v>1676</v>
      </c>
      <c r="B14" s="123"/>
      <c r="C14" s="123"/>
      <c r="D14" s="123"/>
      <c r="E14" s="123"/>
      <c r="F14" s="124" t="s">
        <v>1662</v>
      </c>
      <c r="G14" s="124" t="s">
        <v>1651</v>
      </c>
      <c r="H14" s="123"/>
      <c r="I14" s="123"/>
      <c r="J14" s="122" t="s">
        <v>1682</v>
      </c>
      <c r="K14" s="131"/>
      <c r="L14" s="131"/>
    </row>
    <row r="15" spans="1:14">
      <c r="A15" s="46" t="s">
        <v>1677</v>
      </c>
      <c r="B15" s="123"/>
      <c r="C15" s="123"/>
      <c r="D15" s="123"/>
      <c r="E15" s="123"/>
      <c r="F15" s="123"/>
      <c r="H15" s="123"/>
      <c r="I15" s="123"/>
      <c r="J15" s="122" t="s">
        <v>1683</v>
      </c>
      <c r="K15" s="131"/>
      <c r="L15" s="131"/>
    </row>
    <row r="16" spans="1:14">
      <c r="A16" s="46" t="s">
        <v>1678</v>
      </c>
      <c r="B16" s="123"/>
      <c r="C16" s="123"/>
      <c r="D16" s="123"/>
      <c r="E16" s="123"/>
      <c r="F16" s="123"/>
      <c r="G16" s="123"/>
      <c r="H16" s="123"/>
      <c r="L16" s="131"/>
    </row>
    <row r="17" spans="1:12">
      <c r="A17" s="46" t="s">
        <v>1679</v>
      </c>
      <c r="B17" s="123"/>
      <c r="C17" s="123"/>
      <c r="D17" s="123"/>
      <c r="E17" s="123"/>
      <c r="F17" s="123"/>
      <c r="G17" s="123"/>
      <c r="H17" s="123"/>
      <c r="I17" s="123"/>
      <c r="L17" s="131"/>
    </row>
    <row r="18" spans="1:12">
      <c r="A18" s="46" t="s">
        <v>1680</v>
      </c>
      <c r="B18" s="123"/>
      <c r="C18" s="123"/>
      <c r="D18" s="123"/>
      <c r="E18" s="123"/>
      <c r="F18" s="123"/>
      <c r="G18" s="123"/>
      <c r="H18" s="123"/>
      <c r="I18" s="123"/>
      <c r="K18" s="131"/>
      <c r="L18" s="131"/>
    </row>
    <row r="19" spans="1:12">
      <c r="A19" s="46" t="s">
        <v>1654</v>
      </c>
      <c r="B19" s="123"/>
      <c r="C19" s="123"/>
      <c r="D19" s="123"/>
      <c r="E19" s="123"/>
      <c r="F19" s="123"/>
      <c r="G19" s="123"/>
      <c r="H19" s="123"/>
      <c r="I19" s="123"/>
      <c r="K19" s="131"/>
      <c r="L19" s="131"/>
    </row>
    <row r="20" spans="1:12">
      <c r="A20" s="46" t="s">
        <v>1660</v>
      </c>
      <c r="B20" s="123"/>
      <c r="C20" s="123"/>
      <c r="D20" s="123"/>
      <c r="E20" s="123"/>
      <c r="F20" s="123"/>
      <c r="G20" s="123"/>
      <c r="H20" s="123"/>
      <c r="I20" s="123"/>
      <c r="K20" s="131"/>
      <c r="L20" s="131"/>
    </row>
    <row r="21" spans="1:12">
      <c r="A21" s="46" t="s">
        <v>1663</v>
      </c>
      <c r="B21" s="123"/>
      <c r="C21" s="123"/>
      <c r="D21" s="123"/>
      <c r="E21" s="123"/>
      <c r="F21" s="123"/>
      <c r="G21" s="123"/>
      <c r="H21" s="123"/>
      <c r="I21" s="123"/>
      <c r="K21" s="131"/>
      <c r="L21" s="131"/>
    </row>
    <row r="22" spans="1:12">
      <c r="A22" s="46" t="s">
        <v>1665</v>
      </c>
      <c r="B22" s="123"/>
      <c r="C22" s="123"/>
      <c r="D22" s="123"/>
      <c r="E22" s="123"/>
      <c r="F22" s="123"/>
      <c r="G22" s="123"/>
      <c r="H22" s="123"/>
      <c r="I22" s="123"/>
      <c r="K22" s="131"/>
      <c r="L22" s="131"/>
    </row>
    <row r="23" spans="1:12">
      <c r="A23" s="46" t="s">
        <v>1666</v>
      </c>
      <c r="B23" s="123"/>
      <c r="C23" s="123"/>
      <c r="D23" s="123"/>
      <c r="E23" s="123"/>
      <c r="F23" s="123"/>
      <c r="G23" s="123"/>
      <c r="H23" s="123"/>
      <c r="I23" s="123"/>
      <c r="K23" s="131"/>
      <c r="L23" s="131"/>
    </row>
    <row r="27" spans="1:12">
      <c r="B27" s="66" t="s">
        <v>1690</v>
      </c>
      <c r="F27" s="278" t="s">
        <v>1777</v>
      </c>
      <c r="G27" s="280"/>
      <c r="H27" s="122" t="s">
        <v>1775</v>
      </c>
      <c r="I27" s="122" t="s">
        <v>1787</v>
      </c>
      <c r="J27" s="122" t="s">
        <v>1788</v>
      </c>
    </row>
    <row r="28" spans="1:12" ht="28.5">
      <c r="B28" s="66" t="s">
        <v>1691</v>
      </c>
      <c r="F28" s="122" t="s">
        <v>1784</v>
      </c>
      <c r="G28" s="122" t="s">
        <v>1823</v>
      </c>
      <c r="H28" s="122" t="s">
        <v>1785</v>
      </c>
      <c r="I28" s="122" t="s">
        <v>1792</v>
      </c>
      <c r="J28" s="122" t="s">
        <v>1789</v>
      </c>
    </row>
    <row r="29" spans="1:12" ht="28.5">
      <c r="B29" s="66" t="s">
        <v>1692</v>
      </c>
      <c r="F29" s="122" t="s">
        <v>1783</v>
      </c>
      <c r="G29" s="122" t="s">
        <v>1824</v>
      </c>
      <c r="H29" s="122" t="s">
        <v>1797</v>
      </c>
      <c r="I29" s="122" t="s">
        <v>1794</v>
      </c>
      <c r="J29" s="122" t="s">
        <v>1790</v>
      </c>
    </row>
    <row r="30" spans="1:12" ht="28.5">
      <c r="B30" s="66" t="s">
        <v>1693</v>
      </c>
      <c r="F30" s="54"/>
      <c r="G30" s="122" t="s">
        <v>1825</v>
      </c>
      <c r="H30" s="124" t="s">
        <v>1798</v>
      </c>
      <c r="I30" s="114" t="s">
        <v>1800</v>
      </c>
      <c r="J30" s="122" t="s">
        <v>1791</v>
      </c>
    </row>
    <row r="31" spans="1:12" ht="28.5">
      <c r="B31" s="66" t="s">
        <v>1694</v>
      </c>
      <c r="F31" s="54"/>
      <c r="G31" s="122" t="s">
        <v>1826</v>
      </c>
      <c r="H31" s="124" t="s">
        <v>1799</v>
      </c>
      <c r="I31" s="122" t="s">
        <v>1796</v>
      </c>
      <c r="J31" s="122" t="s">
        <v>1795</v>
      </c>
    </row>
    <row r="32" spans="1:12" ht="28.5">
      <c r="B32" s="66" t="s">
        <v>1695</v>
      </c>
      <c r="F32" s="54"/>
      <c r="G32" s="122" t="s">
        <v>1827</v>
      </c>
      <c r="H32" s="122" t="s">
        <v>1786</v>
      </c>
      <c r="I32" s="122" t="s">
        <v>1793</v>
      </c>
      <c r="J32" s="122"/>
    </row>
    <row r="33" spans="2:10" ht="28.5">
      <c r="B33" s="66" t="s">
        <v>1696</v>
      </c>
      <c r="F33" s="54"/>
      <c r="G33" s="122" t="s">
        <v>1828</v>
      </c>
      <c r="H33" s="122" t="s">
        <v>1778</v>
      </c>
      <c r="I33" s="122"/>
      <c r="J33" s="122"/>
    </row>
    <row r="34" spans="2:10" ht="42.75">
      <c r="B34" s="46" t="s">
        <v>1697</v>
      </c>
      <c r="F34" s="54"/>
      <c r="G34" s="122" t="s">
        <v>1829</v>
      </c>
      <c r="H34" s="122" t="s">
        <v>1779</v>
      </c>
      <c r="I34" s="122"/>
      <c r="J34" s="122"/>
    </row>
    <row r="35" spans="2:10" ht="42.75">
      <c r="B35" s="46" t="s">
        <v>1698</v>
      </c>
      <c r="F35" s="54"/>
      <c r="G35" s="122" t="s">
        <v>1830</v>
      </c>
      <c r="H35" s="122" t="s">
        <v>1780</v>
      </c>
      <c r="I35" s="122"/>
      <c r="J35" s="122"/>
    </row>
    <row r="36" spans="2:10" ht="28.5">
      <c r="F36" s="54"/>
      <c r="G36" s="122" t="s">
        <v>1822</v>
      </c>
      <c r="H36" s="122" t="s">
        <v>1781</v>
      </c>
      <c r="I36" s="122"/>
      <c r="J36" s="122"/>
    </row>
    <row r="37" spans="2:10" ht="28.5">
      <c r="B37" s="46" t="s">
        <v>1699</v>
      </c>
      <c r="F37" s="54"/>
      <c r="G37" s="122"/>
      <c r="H37" s="122" t="s">
        <v>1782</v>
      </c>
      <c r="I37" s="122"/>
      <c r="J37" s="122"/>
    </row>
    <row r="38" spans="2:10" ht="28.5">
      <c r="B38" s="46" t="s">
        <v>1700</v>
      </c>
    </row>
    <row r="39" spans="2:10">
      <c r="B39" s="46" t="s">
        <v>1701</v>
      </c>
    </row>
    <row r="40" spans="2:10">
      <c r="B40" s="46" t="s">
        <v>1702</v>
      </c>
    </row>
    <row r="41" spans="2:10">
      <c r="B41" s="46" t="s">
        <v>1703</v>
      </c>
    </row>
  </sheetData>
  <mergeCells count="4">
    <mergeCell ref="E3:G3"/>
    <mergeCell ref="B2:H2"/>
    <mergeCell ref="I2:L2"/>
    <mergeCell ref="F27:G27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7C9BC-338E-4258-9868-1E9E9CAB96F8}">
  <sheetPr>
    <tabColor rgb="FFFF0000"/>
  </sheetPr>
  <dimension ref="A1"/>
  <sheetViews>
    <sheetView workbookViewId="0">
      <selection activeCell="O38" sqref="O38"/>
    </sheetView>
  </sheetViews>
  <sheetFormatPr defaultRowHeight="14.25"/>
  <sheetData/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C52C2-7960-45F4-9E7F-0FF1234F1682}">
  <sheetPr>
    <tabColor rgb="FFFF0000"/>
  </sheetPr>
  <dimension ref="A1"/>
  <sheetViews>
    <sheetView workbookViewId="0">
      <selection activeCell="N35" sqref="N35"/>
    </sheetView>
  </sheetViews>
  <sheetFormatPr defaultRowHeight="14.25"/>
  <sheetData/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8315B-6482-4DE2-A8AA-D539B29CC739}">
  <sheetPr>
    <tabColor rgb="FFFF0000"/>
  </sheetPr>
  <dimension ref="B2:L288"/>
  <sheetViews>
    <sheetView topLeftCell="A4" workbookViewId="0">
      <selection activeCell="G25" sqref="G25"/>
    </sheetView>
  </sheetViews>
  <sheetFormatPr defaultRowHeight="14.25"/>
  <cols>
    <col min="2" max="2" width="15.875" customWidth="1"/>
    <col min="3" max="3" width="17" customWidth="1"/>
    <col min="4" max="4" width="25.375" customWidth="1"/>
    <col min="5" max="5" width="46.375" customWidth="1"/>
    <col min="7" max="7" width="41.5" customWidth="1"/>
    <col min="12" max="12" width="47.5" customWidth="1"/>
  </cols>
  <sheetData>
    <row r="2" spans="2:12" ht="30">
      <c r="G2" s="92" t="s">
        <v>1244</v>
      </c>
      <c r="I2" t="s">
        <v>1721</v>
      </c>
      <c r="J2" t="s">
        <v>1466</v>
      </c>
      <c r="L2" s="112" t="s">
        <v>1878</v>
      </c>
    </row>
    <row r="3" spans="2:12">
      <c r="B3" s="60" t="s">
        <v>1042</v>
      </c>
      <c r="C3" s="60" t="s">
        <v>1041</v>
      </c>
      <c r="D3" s="60" t="s">
        <v>1040</v>
      </c>
      <c r="G3" s="93" t="s">
        <v>1245</v>
      </c>
      <c r="J3" t="s">
        <v>1722</v>
      </c>
    </row>
    <row r="4" spans="2:12" ht="30">
      <c r="B4" s="60" t="s">
        <v>1033</v>
      </c>
      <c r="C4" s="60" t="s">
        <v>1034</v>
      </c>
      <c r="D4" s="60" t="s">
        <v>1035</v>
      </c>
      <c r="G4" s="92" t="s">
        <v>1246</v>
      </c>
      <c r="J4" t="s">
        <v>1031</v>
      </c>
      <c r="L4" s="113" t="s">
        <v>1879</v>
      </c>
    </row>
    <row r="5" spans="2:12">
      <c r="B5" s="60" t="s">
        <v>1036</v>
      </c>
      <c r="C5" s="60" t="s">
        <v>1037</v>
      </c>
      <c r="D5" s="60" t="s">
        <v>1038</v>
      </c>
      <c r="G5" s="93" t="s">
        <v>1247</v>
      </c>
      <c r="J5" t="s">
        <v>1338</v>
      </c>
      <c r="L5" t="s">
        <v>1317</v>
      </c>
    </row>
    <row r="6" spans="2:12" ht="23.25">
      <c r="B6" s="60" t="s">
        <v>1024</v>
      </c>
      <c r="C6" s="60" t="s">
        <v>1039</v>
      </c>
      <c r="D6" s="46"/>
      <c r="G6" s="94" t="s">
        <v>1248</v>
      </c>
      <c r="L6" s="96" t="s">
        <v>1880</v>
      </c>
    </row>
    <row r="7" spans="2:12" ht="17.25">
      <c r="B7" s="60" t="s">
        <v>1028</v>
      </c>
      <c r="C7" s="60"/>
      <c r="D7" s="46"/>
      <c r="G7" s="95" t="s">
        <v>1249</v>
      </c>
      <c r="L7" s="96" t="s">
        <v>1898</v>
      </c>
    </row>
    <row r="8" spans="2:12">
      <c r="G8" s="93" t="s">
        <v>1250</v>
      </c>
      <c r="L8" s="96" t="s">
        <v>1882</v>
      </c>
    </row>
    <row r="9" spans="2:12">
      <c r="B9" s="46" t="s">
        <v>1023</v>
      </c>
      <c r="C9" s="46"/>
      <c r="G9" s="93" t="s">
        <v>1251</v>
      </c>
      <c r="L9" t="s">
        <v>1883</v>
      </c>
    </row>
    <row r="10" spans="2:12">
      <c r="B10" s="46" t="s">
        <v>371</v>
      </c>
      <c r="C10" s="46"/>
      <c r="G10" s="93" t="s">
        <v>1252</v>
      </c>
      <c r="L10" t="s">
        <v>1884</v>
      </c>
    </row>
    <row r="11" spans="2:12" ht="85.5">
      <c r="B11" s="46" t="s">
        <v>1024</v>
      </c>
      <c r="C11" s="46" t="s">
        <v>1025</v>
      </c>
      <c r="G11" s="95" t="s">
        <v>1253</v>
      </c>
      <c r="L11" s="113" t="s">
        <v>1885</v>
      </c>
    </row>
    <row r="12" spans="2:12">
      <c r="B12" s="46" t="s">
        <v>371</v>
      </c>
      <c r="C12" s="46"/>
      <c r="G12" s="93" t="s">
        <v>1254</v>
      </c>
      <c r="L12" t="s">
        <v>1886</v>
      </c>
    </row>
    <row r="13" spans="2:12" ht="28.5">
      <c r="B13" s="46" t="s">
        <v>1026</v>
      </c>
      <c r="C13" s="46" t="s">
        <v>1027</v>
      </c>
      <c r="G13" s="93" t="s">
        <v>1255</v>
      </c>
      <c r="L13" s="96" t="s">
        <v>1899</v>
      </c>
    </row>
    <row r="14" spans="2:12">
      <c r="B14" s="46" t="s">
        <v>371</v>
      </c>
      <c r="C14" s="46"/>
      <c r="G14" s="93" t="s">
        <v>1256</v>
      </c>
      <c r="L14" s="96" t="s">
        <v>1887</v>
      </c>
    </row>
    <row r="15" spans="2:12" ht="42.75">
      <c r="B15" s="46" t="s">
        <v>1028</v>
      </c>
      <c r="C15" s="46" t="s">
        <v>1029</v>
      </c>
      <c r="G15" s="93" t="s">
        <v>1257</v>
      </c>
      <c r="L15" s="96" t="s">
        <v>1888</v>
      </c>
    </row>
    <row r="16" spans="2:12" ht="17.25">
      <c r="B16" s="46" t="s">
        <v>371</v>
      </c>
      <c r="C16" s="46"/>
      <c r="G16" s="95" t="s">
        <v>1258</v>
      </c>
      <c r="L16" s="96" t="s">
        <v>1889</v>
      </c>
    </row>
    <row r="17" spans="2:12">
      <c r="B17" s="46" t="s">
        <v>1030</v>
      </c>
      <c r="C17" s="46"/>
      <c r="G17" s="93" t="s">
        <v>1259</v>
      </c>
      <c r="L17" t="s">
        <v>1890</v>
      </c>
    </row>
    <row r="18" spans="2:12" ht="17.25">
      <c r="B18" s="46" t="s">
        <v>371</v>
      </c>
      <c r="C18" s="46"/>
      <c r="G18" s="93" t="s">
        <v>1260</v>
      </c>
      <c r="L18" s="113" t="s">
        <v>1891</v>
      </c>
    </row>
    <row r="19" spans="2:12">
      <c r="B19" s="46" t="s">
        <v>1031</v>
      </c>
      <c r="C19" s="46"/>
      <c r="G19" s="96" t="s">
        <v>1261</v>
      </c>
      <c r="L19" t="s">
        <v>1886</v>
      </c>
    </row>
    <row r="20" spans="2:12">
      <c r="B20" s="46" t="s">
        <v>371</v>
      </c>
      <c r="C20" s="46"/>
      <c r="G20" s="96" t="s">
        <v>1262</v>
      </c>
      <c r="L20" s="96" t="s">
        <v>1466</v>
      </c>
    </row>
    <row r="21" spans="2:12">
      <c r="B21" s="46" t="s">
        <v>1032</v>
      </c>
      <c r="C21" s="46"/>
      <c r="G21" s="96" t="s">
        <v>1263</v>
      </c>
      <c r="L21" s="96" t="s">
        <v>1722</v>
      </c>
    </row>
    <row r="22" spans="2:12">
      <c r="B22" s="46"/>
      <c r="C22" s="46"/>
      <c r="G22" s="93" t="s">
        <v>1264</v>
      </c>
      <c r="L22" s="96" t="s">
        <v>1338</v>
      </c>
    </row>
    <row r="23" spans="2:12" ht="17.25">
      <c r="G23" s="95" t="s">
        <v>1265</v>
      </c>
      <c r="L23" s="96" t="s">
        <v>1892</v>
      </c>
    </row>
    <row r="24" spans="2:12" ht="28.5">
      <c r="B24" s="88" t="s">
        <v>985</v>
      </c>
      <c r="C24" s="283" t="s">
        <v>986</v>
      </c>
      <c r="D24" s="284"/>
      <c r="E24" s="88" t="s">
        <v>987</v>
      </c>
      <c r="G24" s="93" t="s">
        <v>1266</v>
      </c>
      <c r="L24" t="s">
        <v>1893</v>
      </c>
    </row>
    <row r="25" spans="2:12" ht="42.75">
      <c r="B25" s="89"/>
      <c r="C25" s="54" t="s">
        <v>988</v>
      </c>
      <c r="D25" s="90"/>
      <c r="E25" s="54"/>
      <c r="G25" s="93" t="s">
        <v>1267</v>
      </c>
    </row>
    <row r="26" spans="2:12" ht="28.5">
      <c r="B26" s="89"/>
      <c r="C26" s="54" t="s">
        <v>989</v>
      </c>
      <c r="D26" s="90"/>
      <c r="E26" s="54"/>
      <c r="G26" s="96" t="s">
        <v>1268</v>
      </c>
    </row>
    <row r="27" spans="2:12" ht="28.5">
      <c r="B27" s="89"/>
      <c r="C27" s="54" t="s">
        <v>990</v>
      </c>
      <c r="D27" s="90"/>
      <c r="E27" s="54"/>
      <c r="G27" s="96" t="s">
        <v>1269</v>
      </c>
    </row>
    <row r="28" spans="2:12" ht="28.5">
      <c r="B28" s="89"/>
      <c r="C28" s="54" t="s">
        <v>991</v>
      </c>
      <c r="D28" s="54"/>
      <c r="E28" s="54"/>
      <c r="G28" s="93" t="s">
        <v>1270</v>
      </c>
    </row>
    <row r="29" spans="2:12" ht="28.5">
      <c r="B29" s="89" t="s">
        <v>992</v>
      </c>
      <c r="C29" s="54" t="s">
        <v>993</v>
      </c>
      <c r="D29" s="54"/>
      <c r="E29" s="91"/>
      <c r="G29" s="95" t="s">
        <v>1271</v>
      </c>
    </row>
    <row r="30" spans="2:12" ht="28.5">
      <c r="B30" s="89" t="s">
        <v>994</v>
      </c>
      <c r="C30" s="54" t="s">
        <v>995</v>
      </c>
      <c r="D30" s="54"/>
      <c r="E30" s="54"/>
      <c r="G30" s="93" t="s">
        <v>1272</v>
      </c>
    </row>
    <row r="31" spans="2:12" ht="28.5">
      <c r="B31" s="54" t="s">
        <v>996</v>
      </c>
      <c r="C31" s="54" t="s">
        <v>997</v>
      </c>
      <c r="D31" s="54" t="s">
        <v>998</v>
      </c>
      <c r="E31" s="54"/>
      <c r="G31" s="93" t="s">
        <v>292</v>
      </c>
    </row>
    <row r="32" spans="2:12" ht="28.5">
      <c r="B32" s="89"/>
      <c r="C32" s="111" t="s">
        <v>999</v>
      </c>
      <c r="D32" s="54" t="s">
        <v>1000</v>
      </c>
      <c r="E32" s="54"/>
      <c r="G32" s="93" t="s">
        <v>1273</v>
      </c>
    </row>
    <row r="33" spans="2:7" ht="102">
      <c r="B33" s="54" t="s">
        <v>1001</v>
      </c>
      <c r="C33" s="54" t="s">
        <v>1002</v>
      </c>
      <c r="D33" s="54" t="s">
        <v>1003</v>
      </c>
      <c r="E33" s="143" t="s">
        <v>1004</v>
      </c>
      <c r="G33" s="93" t="s">
        <v>1274</v>
      </c>
    </row>
    <row r="34" spans="2:7" ht="89.25">
      <c r="B34" s="89" t="s">
        <v>1005</v>
      </c>
      <c r="C34" s="54" t="s">
        <v>1006</v>
      </c>
      <c r="D34" s="54" t="s">
        <v>1007</v>
      </c>
      <c r="E34" s="144" t="s">
        <v>1008</v>
      </c>
      <c r="G34" s="93" t="s">
        <v>1275</v>
      </c>
    </row>
    <row r="35" spans="2:7" ht="89.25">
      <c r="B35" s="89"/>
      <c r="C35" s="54" t="s">
        <v>1009</v>
      </c>
      <c r="D35" s="54" t="s">
        <v>1010</v>
      </c>
      <c r="E35" s="144" t="s">
        <v>1011</v>
      </c>
      <c r="G35" s="93" t="s">
        <v>1276</v>
      </c>
    </row>
    <row r="36" spans="2:7" ht="76.5">
      <c r="B36" s="111" t="s">
        <v>1012</v>
      </c>
      <c r="C36" s="54" t="s">
        <v>1013</v>
      </c>
      <c r="D36" s="54" t="s">
        <v>1014</v>
      </c>
      <c r="E36" s="144" t="s">
        <v>1015</v>
      </c>
      <c r="G36" s="95" t="s">
        <v>1277</v>
      </c>
    </row>
    <row r="37" spans="2:7" ht="89.25">
      <c r="B37" s="89"/>
      <c r="C37" s="54" t="s">
        <v>1016</v>
      </c>
      <c r="D37" s="54" t="s">
        <v>1017</v>
      </c>
      <c r="E37" s="144" t="s">
        <v>1018</v>
      </c>
      <c r="G37" s="93" t="s">
        <v>1278</v>
      </c>
    </row>
    <row r="38" spans="2:7" ht="76.5">
      <c r="B38" s="89"/>
      <c r="C38" s="54" t="s">
        <v>1019</v>
      </c>
      <c r="D38" s="54" t="s">
        <v>1020</v>
      </c>
      <c r="E38" s="144" t="s">
        <v>1021</v>
      </c>
      <c r="G38" s="93" t="s">
        <v>1260</v>
      </c>
    </row>
    <row r="39" spans="2:7" ht="28.5">
      <c r="B39" s="89"/>
      <c r="C39" s="54" t="s">
        <v>1022</v>
      </c>
      <c r="D39" s="54"/>
      <c r="E39" s="54"/>
      <c r="G39" s="93" t="s">
        <v>1279</v>
      </c>
    </row>
    <row r="40" spans="2:7">
      <c r="G40" s="93" t="s">
        <v>1280</v>
      </c>
    </row>
    <row r="41" spans="2:7">
      <c r="G41" s="93" t="s">
        <v>1281</v>
      </c>
    </row>
    <row r="42" spans="2:7">
      <c r="B42" t="s">
        <v>1751</v>
      </c>
      <c r="G42" s="93" t="s">
        <v>1282</v>
      </c>
    </row>
    <row r="43" spans="2:7" ht="23.25">
      <c r="B43" s="112" t="s">
        <v>1742</v>
      </c>
      <c r="G43" s="93" t="s">
        <v>1283</v>
      </c>
    </row>
    <row r="44" spans="2:7">
      <c r="B44" t="s">
        <v>1743</v>
      </c>
      <c r="G44" s="93" t="s">
        <v>1284</v>
      </c>
    </row>
    <row r="45" spans="2:7" ht="30">
      <c r="B45" t="s">
        <v>1744</v>
      </c>
      <c r="G45" s="92" t="s">
        <v>1285</v>
      </c>
    </row>
    <row r="46" spans="2:7">
      <c r="B46" s="96" t="s">
        <v>1036</v>
      </c>
      <c r="G46" s="93" t="s">
        <v>1286</v>
      </c>
    </row>
    <row r="47" spans="2:7">
      <c r="B47" s="96" t="s">
        <v>1028</v>
      </c>
      <c r="G47" s="93" t="s">
        <v>1287</v>
      </c>
    </row>
    <row r="48" spans="2:7" ht="23.25">
      <c r="B48" s="96" t="s">
        <v>1745</v>
      </c>
      <c r="G48" s="94" t="s">
        <v>1248</v>
      </c>
    </row>
    <row r="49" spans="2:7" ht="17.25">
      <c r="B49" t="s">
        <v>1746</v>
      </c>
      <c r="G49" s="95" t="s">
        <v>1288</v>
      </c>
    </row>
    <row r="50" spans="2:7">
      <c r="B50" s="96" t="s">
        <v>1747</v>
      </c>
      <c r="G50" s="93" t="s">
        <v>1289</v>
      </c>
    </row>
    <row r="51" spans="2:7">
      <c r="B51" s="96" t="s">
        <v>1748</v>
      </c>
      <c r="G51" s="93" t="s">
        <v>1290</v>
      </c>
    </row>
    <row r="52" spans="2:7">
      <c r="B52" s="96" t="s">
        <v>1749</v>
      </c>
      <c r="G52" s="93" t="s">
        <v>1291</v>
      </c>
    </row>
    <row r="53" spans="2:7" ht="17.25">
      <c r="B53" t="s">
        <v>1750</v>
      </c>
      <c r="G53" s="95" t="s">
        <v>1292</v>
      </c>
    </row>
    <row r="54" spans="2:7" ht="23.25">
      <c r="B54" s="112" t="s">
        <v>1752</v>
      </c>
      <c r="G54" s="93" t="s">
        <v>1272</v>
      </c>
    </row>
    <row r="55" spans="2:7">
      <c r="B55" t="s">
        <v>1743</v>
      </c>
      <c r="G55" s="93" t="s">
        <v>1293</v>
      </c>
    </row>
    <row r="56" spans="2:7" ht="17.25">
      <c r="B56" s="113" t="s">
        <v>1753</v>
      </c>
      <c r="G56" s="95" t="s">
        <v>1294</v>
      </c>
    </row>
    <row r="57" spans="2:7">
      <c r="B57" t="s">
        <v>1754</v>
      </c>
      <c r="G57" s="93" t="s">
        <v>1295</v>
      </c>
    </row>
    <row r="58" spans="2:7">
      <c r="B58" s="96" t="s">
        <v>1755</v>
      </c>
      <c r="G58" s="93" t="s">
        <v>1296</v>
      </c>
    </row>
    <row r="59" spans="2:7">
      <c r="B59" s="96" t="s">
        <v>1756</v>
      </c>
      <c r="G59" s="96" t="s">
        <v>1297</v>
      </c>
    </row>
    <row r="60" spans="2:7">
      <c r="B60" s="96" t="s">
        <v>1757</v>
      </c>
      <c r="G60" s="93" t="s">
        <v>1298</v>
      </c>
    </row>
    <row r="61" spans="2:7" ht="17.25">
      <c r="B61" s="96" t="s">
        <v>1758</v>
      </c>
      <c r="G61" s="95" t="s">
        <v>1299</v>
      </c>
    </row>
    <row r="62" spans="2:7" ht="17.25">
      <c r="B62" s="113" t="s">
        <v>1759</v>
      </c>
      <c r="G62" s="93" t="s">
        <v>1300</v>
      </c>
    </row>
    <row r="63" spans="2:7">
      <c r="B63" t="s">
        <v>1754</v>
      </c>
      <c r="G63" s="93" t="s">
        <v>292</v>
      </c>
    </row>
    <row r="64" spans="2:7">
      <c r="B64" s="96" t="s">
        <v>1760</v>
      </c>
      <c r="G64" s="93" t="s">
        <v>1301</v>
      </c>
    </row>
    <row r="65" spans="2:7">
      <c r="B65" s="96" t="s">
        <v>1146</v>
      </c>
      <c r="G65" s="93" t="s">
        <v>1302</v>
      </c>
    </row>
    <row r="66" spans="2:7">
      <c r="B66" s="96" t="s">
        <v>1761</v>
      </c>
      <c r="G66" s="93" t="s">
        <v>1303</v>
      </c>
    </row>
    <row r="67" spans="2:7">
      <c r="B67" s="96" t="s">
        <v>1762</v>
      </c>
      <c r="G67" s="93" t="s">
        <v>1304</v>
      </c>
    </row>
    <row r="68" spans="2:7" ht="17.25">
      <c r="B68" s="113" t="s">
        <v>1763</v>
      </c>
      <c r="G68" s="93">
        <f>40</f>
        <v>40</v>
      </c>
    </row>
    <row r="69" spans="2:7">
      <c r="B69" t="s">
        <v>1260</v>
      </c>
      <c r="G69" s="93" t="s">
        <v>1305</v>
      </c>
    </row>
    <row r="70" spans="2:7" ht="30">
      <c r="B70" s="96" t="s">
        <v>1764</v>
      </c>
      <c r="G70" s="92" t="s">
        <v>1306</v>
      </c>
    </row>
    <row r="71" spans="2:7">
      <c r="B71" s="96" t="s">
        <v>1155</v>
      </c>
      <c r="G71" s="93" t="s">
        <v>1307</v>
      </c>
    </row>
    <row r="72" spans="2:7">
      <c r="B72" s="96" t="s">
        <v>1765</v>
      </c>
      <c r="G72" s="93" t="s">
        <v>1308</v>
      </c>
    </row>
    <row r="73" spans="2:7" ht="23.25">
      <c r="B73" s="112" t="s">
        <v>1766</v>
      </c>
      <c r="G73" s="93" t="s">
        <v>1309</v>
      </c>
    </row>
    <row r="74" spans="2:7">
      <c r="B74" t="s">
        <v>1767</v>
      </c>
      <c r="G74" s="93" t="s">
        <v>1310</v>
      </c>
    </row>
    <row r="75" spans="2:7">
      <c r="B75" t="s">
        <v>1768</v>
      </c>
      <c r="G75" s="93" t="s">
        <v>1311</v>
      </c>
    </row>
    <row r="76" spans="2:7">
      <c r="B76" t="s">
        <v>1260</v>
      </c>
      <c r="G76" s="93" t="s">
        <v>1312</v>
      </c>
    </row>
    <row r="77" spans="2:7">
      <c r="B77" s="96" t="s">
        <v>1769</v>
      </c>
      <c r="G77" s="93" t="s">
        <v>292</v>
      </c>
    </row>
    <row r="78" spans="2:7">
      <c r="B78" s="96" t="s">
        <v>1770</v>
      </c>
      <c r="G78" s="93" t="s">
        <v>1313</v>
      </c>
    </row>
    <row r="79" spans="2:7">
      <c r="B79" s="96" t="s">
        <v>1771</v>
      </c>
      <c r="G79" s="93" t="s">
        <v>1314</v>
      </c>
    </row>
    <row r="80" spans="2:7">
      <c r="B80" t="s">
        <v>1772</v>
      </c>
      <c r="G80" s="93" t="s">
        <v>1315</v>
      </c>
    </row>
    <row r="81" spans="2:7">
      <c r="B81" t="s">
        <v>1260</v>
      </c>
      <c r="G81" s="93" t="s">
        <v>1316</v>
      </c>
    </row>
    <row r="82" spans="2:7">
      <c r="B82" s="96" t="s">
        <v>1773</v>
      </c>
      <c r="G82" s="93" t="s">
        <v>1317</v>
      </c>
    </row>
    <row r="83" spans="2:7" ht="17.25">
      <c r="B83" s="96" t="s">
        <v>1153</v>
      </c>
      <c r="G83" s="95" t="s">
        <v>1318</v>
      </c>
    </row>
    <row r="84" spans="2:7" ht="17.25">
      <c r="B84" s="96" t="s">
        <v>1774</v>
      </c>
      <c r="G84" s="95" t="s">
        <v>1319</v>
      </c>
    </row>
    <row r="85" spans="2:7" ht="17.25">
      <c r="G85" s="95" t="s">
        <v>1320</v>
      </c>
    </row>
    <row r="86" spans="2:7" ht="17.25">
      <c r="G86" s="95" t="s">
        <v>1321</v>
      </c>
    </row>
    <row r="87" spans="2:7">
      <c r="G87" s="93" t="s">
        <v>1280</v>
      </c>
    </row>
    <row r="88" spans="2:7">
      <c r="G88" s="93" t="s">
        <v>345</v>
      </c>
    </row>
    <row r="89" spans="2:7">
      <c r="G89" s="93" t="s">
        <v>1320</v>
      </c>
    </row>
    <row r="90" spans="2:7">
      <c r="G90" s="93" t="s">
        <v>1322</v>
      </c>
    </row>
    <row r="91" spans="2:7">
      <c r="G91" s="93" t="s">
        <v>1323</v>
      </c>
    </row>
    <row r="92" spans="2:7">
      <c r="G92" s="93" t="s">
        <v>1324</v>
      </c>
    </row>
    <row r="93" spans="2:7">
      <c r="G93" s="93" t="s">
        <v>1325</v>
      </c>
    </row>
    <row r="94" spans="2:7">
      <c r="G94" s="93" t="s">
        <v>1326</v>
      </c>
    </row>
    <row r="95" spans="2:7">
      <c r="G95" s="96" t="s">
        <v>1327</v>
      </c>
    </row>
    <row r="96" spans="2:7" ht="30">
      <c r="G96" s="92" t="s">
        <v>1328</v>
      </c>
    </row>
    <row r="97" spans="2:7">
      <c r="G97" s="93" t="s">
        <v>1329</v>
      </c>
    </row>
    <row r="98" spans="2:7">
      <c r="B98" s="96"/>
      <c r="G98" s="93" t="s">
        <v>1330</v>
      </c>
    </row>
    <row r="99" spans="2:7">
      <c r="G99" s="93" t="s">
        <v>1331</v>
      </c>
    </row>
    <row r="100" spans="2:7" ht="17.25">
      <c r="G100" s="95" t="s">
        <v>1332</v>
      </c>
    </row>
    <row r="101" spans="2:7">
      <c r="G101" s="93" t="s">
        <v>1260</v>
      </c>
    </row>
    <row r="102" spans="2:7">
      <c r="G102" s="93" t="s">
        <v>1333</v>
      </c>
    </row>
    <row r="103" spans="2:7" ht="17.25">
      <c r="G103" s="95" t="s">
        <v>1334</v>
      </c>
    </row>
    <row r="104" spans="2:7">
      <c r="G104" s="93" t="s">
        <v>1260</v>
      </c>
    </row>
    <row r="105" spans="2:7">
      <c r="G105" s="93" t="s">
        <v>1335</v>
      </c>
    </row>
    <row r="106" spans="2:7">
      <c r="G106" s="93" t="s">
        <v>1336</v>
      </c>
    </row>
    <row r="107" spans="2:7">
      <c r="G107" s="93" t="s">
        <v>1280</v>
      </c>
    </row>
    <row r="108" spans="2:7">
      <c r="G108" s="93" t="s">
        <v>1337</v>
      </c>
    </row>
    <row r="109" spans="2:7">
      <c r="G109" s="93" t="s">
        <v>1031</v>
      </c>
    </row>
    <row r="110" spans="2:7">
      <c r="G110" s="93" t="s">
        <v>1032</v>
      </c>
    </row>
    <row r="111" spans="2:7">
      <c r="G111" s="93" t="s">
        <v>1338</v>
      </c>
    </row>
    <row r="112" spans="2:7">
      <c r="G112" s="93" t="s">
        <v>1339</v>
      </c>
    </row>
    <row r="113" spans="7:7" ht="30">
      <c r="G113" s="92" t="s">
        <v>1340</v>
      </c>
    </row>
    <row r="114" spans="7:7">
      <c r="G114" s="93" t="s">
        <v>1341</v>
      </c>
    </row>
    <row r="115" spans="7:7">
      <c r="G115" s="93" t="s">
        <v>1317</v>
      </c>
    </row>
    <row r="116" spans="7:7" ht="17.25">
      <c r="G116" s="95" t="s">
        <v>1342</v>
      </c>
    </row>
    <row r="117" spans="7:7" ht="17.25">
      <c r="G117" s="95" t="s">
        <v>1343</v>
      </c>
    </row>
    <row r="118" spans="7:7" ht="17.25">
      <c r="G118" s="95" t="s">
        <v>1344</v>
      </c>
    </row>
    <row r="119" spans="7:7" ht="17.25">
      <c r="G119" s="95" t="s">
        <v>1345</v>
      </c>
    </row>
    <row r="120" spans="7:7" ht="17.25">
      <c r="G120" s="95" t="s">
        <v>1346</v>
      </c>
    </row>
    <row r="121" spans="7:7" ht="17.25">
      <c r="G121" s="95" t="s">
        <v>1347</v>
      </c>
    </row>
    <row r="122" spans="7:7" ht="17.25">
      <c r="G122" s="95" t="s">
        <v>1348</v>
      </c>
    </row>
    <row r="123" spans="7:7" ht="17.25">
      <c r="G123" s="95" t="s">
        <v>1349</v>
      </c>
    </row>
    <row r="124" spans="7:7">
      <c r="G124" s="93" t="s">
        <v>1350</v>
      </c>
    </row>
    <row r="125" spans="7:7">
      <c r="G125" s="93" t="s">
        <v>1351</v>
      </c>
    </row>
    <row r="126" spans="7:7" ht="30">
      <c r="G126" s="92" t="s">
        <v>1352</v>
      </c>
    </row>
    <row r="127" spans="7:7">
      <c r="G127" s="93" t="s">
        <v>1353</v>
      </c>
    </row>
    <row r="128" spans="7:7">
      <c r="G128" s="93" t="s">
        <v>1354</v>
      </c>
    </row>
    <row r="129" spans="7:7">
      <c r="G129" s="96" t="s">
        <v>1355</v>
      </c>
    </row>
    <row r="130" spans="7:7">
      <c r="G130" s="96" t="s">
        <v>1356</v>
      </c>
    </row>
    <row r="131" spans="7:7">
      <c r="G131" s="96" t="s">
        <v>1357</v>
      </c>
    </row>
    <row r="132" spans="7:7">
      <c r="G132" s="96" t="s">
        <v>1358</v>
      </c>
    </row>
    <row r="133" spans="7:7">
      <c r="G133" s="96" t="s">
        <v>1359</v>
      </c>
    </row>
    <row r="134" spans="7:7">
      <c r="G134" s="96" t="s">
        <v>1360</v>
      </c>
    </row>
    <row r="135" spans="7:7">
      <c r="G135" s="93" t="s">
        <v>1361</v>
      </c>
    </row>
    <row r="136" spans="7:7">
      <c r="G136" s="93" t="s">
        <v>1362</v>
      </c>
    </row>
    <row r="137" spans="7:7">
      <c r="G137" s="93" t="s">
        <v>1363</v>
      </c>
    </row>
    <row r="138" spans="7:7" ht="30">
      <c r="G138" s="92" t="s">
        <v>1364</v>
      </c>
    </row>
    <row r="139" spans="7:7">
      <c r="G139" s="93" t="s">
        <v>1365</v>
      </c>
    </row>
    <row r="140" spans="7:7">
      <c r="G140" s="93" t="s">
        <v>1366</v>
      </c>
    </row>
    <row r="141" spans="7:7">
      <c r="G141" s="93" t="s">
        <v>1367</v>
      </c>
    </row>
    <row r="142" spans="7:7" ht="17.25">
      <c r="G142" s="95" t="s">
        <v>1368</v>
      </c>
    </row>
    <row r="143" spans="7:7">
      <c r="G143" s="93" t="s">
        <v>1369</v>
      </c>
    </row>
    <row r="144" spans="7:7">
      <c r="G144" s="93" t="s">
        <v>1370</v>
      </c>
    </row>
    <row r="145" spans="7:7">
      <c r="G145" s="93" t="s">
        <v>1371</v>
      </c>
    </row>
    <row r="146" spans="7:7">
      <c r="G146" s="93" t="s">
        <v>1026</v>
      </c>
    </row>
    <row r="147" spans="7:7">
      <c r="G147" s="93" t="s">
        <v>1372</v>
      </c>
    </row>
    <row r="148" spans="7:7">
      <c r="G148" s="93" t="s">
        <v>1373</v>
      </c>
    </row>
    <row r="149" spans="7:7">
      <c r="G149" s="93" t="s">
        <v>1374</v>
      </c>
    </row>
    <row r="150" spans="7:7">
      <c r="G150" s="93" t="s">
        <v>1375</v>
      </c>
    </row>
    <row r="151" spans="7:7">
      <c r="G151" s="93" t="s">
        <v>1376</v>
      </c>
    </row>
    <row r="152" spans="7:7">
      <c r="G152" s="93" t="s">
        <v>1377</v>
      </c>
    </row>
    <row r="153" spans="7:7">
      <c r="G153" s="93" t="s">
        <v>1378</v>
      </c>
    </row>
    <row r="154" spans="7:7">
      <c r="G154" s="93" t="s">
        <v>1379</v>
      </c>
    </row>
    <row r="155" spans="7:7">
      <c r="G155" s="93" t="s">
        <v>1380</v>
      </c>
    </row>
    <row r="156" spans="7:7">
      <c r="G156" s="93" t="s">
        <v>1381</v>
      </c>
    </row>
    <row r="157" spans="7:7">
      <c r="G157" s="96" t="s">
        <v>1382</v>
      </c>
    </row>
    <row r="158" spans="7:7">
      <c r="G158" s="96" t="s">
        <v>1383</v>
      </c>
    </row>
    <row r="159" spans="7:7">
      <c r="G159" s="96" t="s">
        <v>1384</v>
      </c>
    </row>
    <row r="160" spans="7:7">
      <c r="G160" s="96" t="s">
        <v>1385</v>
      </c>
    </row>
    <row r="161" spans="7:7">
      <c r="G161" s="96" t="s">
        <v>1386</v>
      </c>
    </row>
    <row r="162" spans="7:7">
      <c r="G162" s="93" t="s">
        <v>1387</v>
      </c>
    </row>
    <row r="163" spans="7:7">
      <c r="G163" s="93" t="s">
        <v>1388</v>
      </c>
    </row>
    <row r="164" spans="7:7">
      <c r="G164" s="96" t="s">
        <v>1389</v>
      </c>
    </row>
    <row r="165" spans="7:7">
      <c r="G165" s="93" t="s">
        <v>1390</v>
      </c>
    </row>
    <row r="166" spans="7:7">
      <c r="G166" s="96" t="s">
        <v>1391</v>
      </c>
    </row>
    <row r="167" spans="7:7">
      <c r="G167" s="96" t="s">
        <v>1392</v>
      </c>
    </row>
    <row r="168" spans="7:7">
      <c r="G168" s="96" t="s">
        <v>1393</v>
      </c>
    </row>
    <row r="169" spans="7:7">
      <c r="G169" s="96" t="s">
        <v>1394</v>
      </c>
    </row>
    <row r="170" spans="7:7">
      <c r="G170" s="93" t="s">
        <v>1395</v>
      </c>
    </row>
    <row r="171" spans="7:7" ht="30">
      <c r="G171" s="92" t="s">
        <v>1396</v>
      </c>
    </row>
    <row r="172" spans="7:7">
      <c r="G172" s="93" t="s">
        <v>1397</v>
      </c>
    </row>
    <row r="173" spans="7:7">
      <c r="G173" s="97" t="s">
        <v>1398</v>
      </c>
    </row>
    <row r="174" spans="7:7">
      <c r="G174" s="97" t="s">
        <v>1399</v>
      </c>
    </row>
    <row r="175" spans="7:7">
      <c r="G175" s="97" t="s">
        <v>1400</v>
      </c>
    </row>
    <row r="176" spans="7:7">
      <c r="G176" s="97" t="s">
        <v>1401</v>
      </c>
    </row>
    <row r="177" spans="7:7">
      <c r="G177" s="97" t="s">
        <v>1400</v>
      </c>
    </row>
    <row r="178" spans="7:7">
      <c r="G178" s="97" t="s">
        <v>1402</v>
      </c>
    </row>
    <row r="179" spans="7:7">
      <c r="G179" s="97" t="s">
        <v>1400</v>
      </c>
    </row>
    <row r="180" spans="7:7">
      <c r="G180" s="97" t="s">
        <v>1403</v>
      </c>
    </row>
    <row r="181" spans="7:7">
      <c r="G181" s="97" t="s">
        <v>1400</v>
      </c>
    </row>
    <row r="182" spans="7:7">
      <c r="G182" s="97" t="s">
        <v>1404</v>
      </c>
    </row>
    <row r="183" spans="7:7">
      <c r="G183" s="97" t="s">
        <v>1400</v>
      </c>
    </row>
    <row r="184" spans="7:7">
      <c r="G184" s="97" t="s">
        <v>1405</v>
      </c>
    </row>
    <row r="185" spans="7:7">
      <c r="G185" s="97" t="s">
        <v>1400</v>
      </c>
    </row>
    <row r="186" spans="7:7">
      <c r="G186" s="97" t="s">
        <v>1406</v>
      </c>
    </row>
    <row r="187" spans="7:7">
      <c r="G187" s="97" t="s">
        <v>1400</v>
      </c>
    </row>
    <row r="188" spans="7:7">
      <c r="G188" s="97" t="s">
        <v>1407</v>
      </c>
    </row>
    <row r="189" spans="7:7">
      <c r="G189" s="93" t="s">
        <v>1408</v>
      </c>
    </row>
    <row r="190" spans="7:7">
      <c r="G190" s="97" t="s">
        <v>1023</v>
      </c>
    </row>
    <row r="191" spans="7:7">
      <c r="G191" s="97" t="s">
        <v>1409</v>
      </c>
    </row>
    <row r="192" spans="7:7">
      <c r="G192" s="97" t="s">
        <v>1024</v>
      </c>
    </row>
    <row r="193" spans="7:7">
      <c r="G193" s="97" t="s">
        <v>1409</v>
      </c>
    </row>
    <row r="194" spans="7:7">
      <c r="G194" s="97" t="s">
        <v>1026</v>
      </c>
    </row>
    <row r="195" spans="7:7">
      <c r="G195" s="97" t="s">
        <v>1409</v>
      </c>
    </row>
    <row r="196" spans="7:7">
      <c r="G196" s="97" t="s">
        <v>1028</v>
      </c>
    </row>
    <row r="197" spans="7:7">
      <c r="G197" s="97" t="s">
        <v>1409</v>
      </c>
    </row>
    <row r="198" spans="7:7">
      <c r="G198" s="97" t="s">
        <v>1030</v>
      </c>
    </row>
    <row r="199" spans="7:7">
      <c r="G199" s="97" t="s">
        <v>1409</v>
      </c>
    </row>
    <row r="200" spans="7:7">
      <c r="G200" s="97" t="s">
        <v>1031</v>
      </c>
    </row>
    <row r="201" spans="7:7">
      <c r="G201" s="97" t="s">
        <v>1409</v>
      </c>
    </row>
    <row r="202" spans="7:7">
      <c r="G202" s="97" t="s">
        <v>1032</v>
      </c>
    </row>
    <row r="203" spans="7:7">
      <c r="G203" s="93" t="s">
        <v>1410</v>
      </c>
    </row>
    <row r="204" spans="7:7" ht="30">
      <c r="G204" s="92" t="s">
        <v>1411</v>
      </c>
    </row>
    <row r="205" spans="7:7">
      <c r="G205" s="93" t="s">
        <v>1412</v>
      </c>
    </row>
    <row r="206" spans="7:7">
      <c r="G206" s="93" t="s">
        <v>1413</v>
      </c>
    </row>
    <row r="207" spans="7:7">
      <c r="G207" s="93" t="s">
        <v>1414</v>
      </c>
    </row>
    <row r="208" spans="7:7">
      <c r="G208" s="93" t="s">
        <v>1026</v>
      </c>
    </row>
    <row r="209" spans="7:7">
      <c r="G209" s="93" t="s">
        <v>1415</v>
      </c>
    </row>
    <row r="210" spans="7:7">
      <c r="G210" s="93" t="s">
        <v>1416</v>
      </c>
    </row>
    <row r="211" spans="7:7">
      <c r="G211" s="93" t="s">
        <v>1417</v>
      </c>
    </row>
    <row r="212" spans="7:7">
      <c r="G212" s="96" t="s">
        <v>1418</v>
      </c>
    </row>
    <row r="213" spans="7:7">
      <c r="G213" s="96" t="s">
        <v>1419</v>
      </c>
    </row>
    <row r="214" spans="7:7">
      <c r="G214" s="96" t="s">
        <v>1420</v>
      </c>
    </row>
    <row r="215" spans="7:7">
      <c r="G215" s="96" t="s">
        <v>1421</v>
      </c>
    </row>
    <row r="216" spans="7:7">
      <c r="G216" s="93" t="s">
        <v>1422</v>
      </c>
    </row>
    <row r="217" spans="7:7" ht="30">
      <c r="G217" s="92" t="s">
        <v>1423</v>
      </c>
    </row>
    <row r="218" spans="7:7">
      <c r="G218" s="93" t="s">
        <v>1024</v>
      </c>
    </row>
    <row r="219" spans="7:7">
      <c r="G219" s="93" t="s">
        <v>292</v>
      </c>
    </row>
    <row r="220" spans="7:7">
      <c r="G220" s="93" t="s">
        <v>1424</v>
      </c>
    </row>
    <row r="221" spans="7:7">
      <c r="G221" s="93" t="s">
        <v>1425</v>
      </c>
    </row>
    <row r="222" spans="7:7">
      <c r="G222" s="93" t="s">
        <v>1426</v>
      </c>
    </row>
    <row r="223" spans="7:7">
      <c r="G223" s="96" t="s">
        <v>1427</v>
      </c>
    </row>
    <row r="224" spans="7:7">
      <c r="G224" s="96" t="s">
        <v>1292</v>
      </c>
    </row>
    <row r="225" spans="7:7">
      <c r="G225" s="96" t="s">
        <v>1428</v>
      </c>
    </row>
    <row r="226" spans="7:7">
      <c r="G226" s="96" t="s">
        <v>1429</v>
      </c>
    </row>
    <row r="227" spans="7:7">
      <c r="G227" s="96" t="s">
        <v>1430</v>
      </c>
    </row>
    <row r="228" spans="7:7">
      <c r="G228" s="96" t="s">
        <v>1255</v>
      </c>
    </row>
    <row r="229" spans="7:7">
      <c r="G229" s="93" t="s">
        <v>1280</v>
      </c>
    </row>
    <row r="230" spans="7:7" ht="30">
      <c r="G230" s="92" t="s">
        <v>1431</v>
      </c>
    </row>
    <row r="231" spans="7:7">
      <c r="G231" s="93" t="s">
        <v>1028</v>
      </c>
    </row>
    <row r="232" spans="7:7">
      <c r="G232" s="93" t="s">
        <v>1432</v>
      </c>
    </row>
    <row r="233" spans="7:7">
      <c r="G233" s="93" t="s">
        <v>1433</v>
      </c>
    </row>
    <row r="234" spans="7:7">
      <c r="G234" s="93" t="s">
        <v>1434</v>
      </c>
    </row>
    <row r="235" spans="7:7">
      <c r="G235" s="93" t="s">
        <v>292</v>
      </c>
    </row>
    <row r="236" spans="7:7">
      <c r="G236" s="93" t="s">
        <v>1028</v>
      </c>
    </row>
    <row r="237" spans="7:7">
      <c r="G237" s="93" t="s">
        <v>1435</v>
      </c>
    </row>
    <row r="238" spans="7:7">
      <c r="G238" s="96" t="s">
        <v>1332</v>
      </c>
    </row>
    <row r="239" spans="7:7">
      <c r="G239" s="96" t="s">
        <v>1334</v>
      </c>
    </row>
    <row r="240" spans="7:7">
      <c r="G240" s="96" t="s">
        <v>1436</v>
      </c>
    </row>
    <row r="241" spans="7:7">
      <c r="G241" s="93" t="s">
        <v>1280</v>
      </c>
    </row>
    <row r="242" spans="7:7" ht="30">
      <c r="G242" s="92" t="s">
        <v>1437</v>
      </c>
    </row>
    <row r="243" spans="7:7">
      <c r="G243" s="93" t="s">
        <v>1438</v>
      </c>
    </row>
    <row r="244" spans="7:7">
      <c r="G244" s="93" t="s">
        <v>1439</v>
      </c>
    </row>
    <row r="245" spans="7:7">
      <c r="G245" s="97" t="s">
        <v>1355</v>
      </c>
    </row>
    <row r="246" spans="7:7">
      <c r="G246" s="97" t="s">
        <v>371</v>
      </c>
    </row>
    <row r="247" spans="7:7">
      <c r="G247" s="97" t="s">
        <v>1440</v>
      </c>
    </row>
    <row r="248" spans="7:7">
      <c r="G248" s="97" t="s">
        <v>371</v>
      </c>
    </row>
    <row r="249" spans="7:7">
      <c r="G249" s="97" t="s">
        <v>1441</v>
      </c>
    </row>
    <row r="250" spans="7:7">
      <c r="G250" s="97" t="s">
        <v>371</v>
      </c>
    </row>
    <row r="251" spans="7:7">
      <c r="G251" s="97" t="s">
        <v>1442</v>
      </c>
    </row>
    <row r="252" spans="7:7">
      <c r="G252" s="97" t="s">
        <v>371</v>
      </c>
    </row>
    <row r="253" spans="7:7">
      <c r="G253" s="97" t="s">
        <v>1443</v>
      </c>
    </row>
    <row r="254" spans="7:7">
      <c r="G254" s="97" t="s">
        <v>371</v>
      </c>
    </row>
    <row r="255" spans="7:7">
      <c r="G255" s="97" t="s">
        <v>1357</v>
      </c>
    </row>
    <row r="256" spans="7:7">
      <c r="G256" s="93" t="s">
        <v>1444</v>
      </c>
    </row>
    <row r="257" spans="7:7">
      <c r="G257" s="93" t="s">
        <v>1445</v>
      </c>
    </row>
    <row r="258" spans="7:7">
      <c r="G258" s="93" t="s">
        <v>1446</v>
      </c>
    </row>
    <row r="259" spans="7:7">
      <c r="G259" s="93" t="s">
        <v>1447</v>
      </c>
    </row>
    <row r="260" spans="7:7">
      <c r="G260" s="93" t="s">
        <v>1448</v>
      </c>
    </row>
    <row r="261" spans="7:7">
      <c r="G261" s="93" t="s">
        <v>1449</v>
      </c>
    </row>
    <row r="262" spans="7:7">
      <c r="G262" s="96" t="s">
        <v>1450</v>
      </c>
    </row>
    <row r="263" spans="7:7">
      <c r="G263" s="93" t="s">
        <v>1451</v>
      </c>
    </row>
    <row r="264" spans="7:7" ht="30">
      <c r="G264" s="92" t="s">
        <v>1452</v>
      </c>
    </row>
    <row r="265" spans="7:7">
      <c r="G265" s="93" t="s">
        <v>1453</v>
      </c>
    </row>
    <row r="266" spans="7:7" ht="17.25">
      <c r="G266" s="95" t="s">
        <v>1454</v>
      </c>
    </row>
    <row r="267" spans="7:7">
      <c r="G267" s="93" t="s">
        <v>1455</v>
      </c>
    </row>
    <row r="268" spans="7:7">
      <c r="G268" s="96" t="s">
        <v>1456</v>
      </c>
    </row>
    <row r="269" spans="7:7">
      <c r="G269" s="96" t="s">
        <v>1457</v>
      </c>
    </row>
    <row r="270" spans="7:7">
      <c r="G270" s="93" t="s">
        <v>1458</v>
      </c>
    </row>
    <row r="271" spans="7:7">
      <c r="G271" s="93" t="s">
        <v>1459</v>
      </c>
    </row>
    <row r="272" spans="7:7">
      <c r="G272" s="93" t="s">
        <v>1460</v>
      </c>
    </row>
    <row r="273" spans="7:7" ht="17.25">
      <c r="G273" s="95" t="s">
        <v>1461</v>
      </c>
    </row>
    <row r="274" spans="7:7">
      <c r="G274" s="93" t="s">
        <v>1462</v>
      </c>
    </row>
    <row r="275" spans="7:7">
      <c r="G275" s="96" t="s">
        <v>1463</v>
      </c>
    </row>
    <row r="276" spans="7:7">
      <c r="G276" s="96" t="s">
        <v>1464</v>
      </c>
    </row>
    <row r="277" spans="7:7" ht="17.25">
      <c r="G277" s="95" t="s">
        <v>1465</v>
      </c>
    </row>
    <row r="278" spans="7:7">
      <c r="G278" s="93" t="s">
        <v>1435</v>
      </c>
    </row>
    <row r="279" spans="7:7">
      <c r="G279" s="96" t="s">
        <v>1466</v>
      </c>
    </row>
    <row r="280" spans="7:7">
      <c r="G280" s="96" t="s">
        <v>1338</v>
      </c>
    </row>
    <row r="281" spans="7:7">
      <c r="G281" s="96" t="s">
        <v>1031</v>
      </c>
    </row>
    <row r="282" spans="7:7">
      <c r="G282" s="93" t="s">
        <v>1467</v>
      </c>
    </row>
    <row r="283" spans="7:7">
      <c r="G283" s="93" t="s">
        <v>1468</v>
      </c>
    </row>
    <row r="284" spans="7:7">
      <c r="G284" s="93" t="s">
        <v>1469</v>
      </c>
    </row>
    <row r="285" spans="7:7">
      <c r="G285" s="98" t="s">
        <v>1470</v>
      </c>
    </row>
    <row r="286" spans="7:7">
      <c r="G286" s="93" t="s">
        <v>1471</v>
      </c>
    </row>
    <row r="287" spans="7:7">
      <c r="G287" s="93" t="s">
        <v>1472</v>
      </c>
    </row>
    <row r="288" spans="7:7">
      <c r="G288" s="93"/>
    </row>
  </sheetData>
  <mergeCells count="1">
    <mergeCell ref="C24:D24"/>
  </mergeCells>
  <phoneticPr fontId="2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BA48C-A091-4759-BEC7-39CC8C8F1638}">
  <sheetPr>
    <tabColor rgb="FFFF0000"/>
  </sheetPr>
  <dimension ref="A2:C453"/>
  <sheetViews>
    <sheetView workbookViewId="0">
      <selection activeCell="C109" sqref="C109"/>
    </sheetView>
  </sheetViews>
  <sheetFormatPr defaultRowHeight="14.25"/>
  <cols>
    <col min="1" max="1" width="9" style="46"/>
    <col min="2" max="2" width="57.875" style="46" customWidth="1"/>
    <col min="3" max="3" width="50.375" style="46" customWidth="1"/>
    <col min="4" max="16384" width="9" style="46"/>
  </cols>
  <sheetData>
    <row r="2" spans="1:3" ht="60">
      <c r="A2" s="46">
        <v>1</v>
      </c>
      <c r="B2" s="147" t="s">
        <v>1900</v>
      </c>
    </row>
    <row r="3" spans="1:3" ht="30">
      <c r="A3" s="46">
        <v>1</v>
      </c>
      <c r="B3" s="148" t="s">
        <v>1901</v>
      </c>
      <c r="C3" s="147" t="s">
        <v>1958</v>
      </c>
    </row>
    <row r="4" spans="1:3">
      <c r="A4" s="46">
        <v>1</v>
      </c>
      <c r="B4" s="46" t="s">
        <v>433</v>
      </c>
      <c r="C4" s="46" t="s">
        <v>1959</v>
      </c>
    </row>
    <row r="5" spans="1:3">
      <c r="A5" s="46">
        <v>1</v>
      </c>
      <c r="B5" s="46" t="s">
        <v>1902</v>
      </c>
      <c r="C5" s="46" t="s">
        <v>1960</v>
      </c>
    </row>
    <row r="6" spans="1:3" ht="23.25">
      <c r="A6" s="46">
        <v>1</v>
      </c>
      <c r="B6" s="60" t="s">
        <v>1903</v>
      </c>
      <c r="C6" s="148" t="s">
        <v>1961</v>
      </c>
    </row>
    <row r="7" spans="1:3">
      <c r="A7" s="46">
        <v>1</v>
      </c>
      <c r="B7" s="46" t="s">
        <v>1904</v>
      </c>
      <c r="C7" s="46" t="s">
        <v>1962</v>
      </c>
    </row>
    <row r="8" spans="1:3" ht="23.25">
      <c r="A8" s="46">
        <v>1</v>
      </c>
      <c r="B8" s="148" t="s">
        <v>1905</v>
      </c>
      <c r="C8" s="149" t="s">
        <v>1963</v>
      </c>
    </row>
    <row r="9" spans="1:3">
      <c r="A9" s="46">
        <v>1</v>
      </c>
      <c r="B9" s="46" t="s">
        <v>1906</v>
      </c>
      <c r="C9" s="46" t="s">
        <v>1964</v>
      </c>
    </row>
    <row r="10" spans="1:3">
      <c r="A10" s="46">
        <v>1</v>
      </c>
      <c r="B10" s="46" t="s">
        <v>1435</v>
      </c>
      <c r="C10" s="46" t="s">
        <v>1965</v>
      </c>
    </row>
    <row r="11" spans="1:3" ht="17.25">
      <c r="A11" s="46">
        <v>1</v>
      </c>
      <c r="B11" s="149" t="s">
        <v>1907</v>
      </c>
      <c r="C11" s="60" t="s">
        <v>1355</v>
      </c>
    </row>
    <row r="12" spans="1:3">
      <c r="A12" s="46">
        <v>1</v>
      </c>
      <c r="B12" s="46" t="s">
        <v>1908</v>
      </c>
      <c r="C12" s="60" t="s">
        <v>1440</v>
      </c>
    </row>
    <row r="13" spans="1:3">
      <c r="A13" s="46">
        <v>1</v>
      </c>
      <c r="B13" s="60" t="s">
        <v>1909</v>
      </c>
      <c r="C13" s="60" t="s">
        <v>1442</v>
      </c>
    </row>
    <row r="14" spans="1:3">
      <c r="A14" s="46">
        <v>1</v>
      </c>
      <c r="B14" s="60" t="s">
        <v>1910</v>
      </c>
      <c r="C14" s="60" t="s">
        <v>1443</v>
      </c>
    </row>
    <row r="15" spans="1:3">
      <c r="A15" s="46">
        <v>1</v>
      </c>
      <c r="B15" s="60" t="s">
        <v>1911</v>
      </c>
      <c r="C15" s="46" t="s">
        <v>1966</v>
      </c>
    </row>
    <row r="16" spans="1:3">
      <c r="A16" s="46">
        <v>1</v>
      </c>
      <c r="B16" s="60" t="s">
        <v>1912</v>
      </c>
      <c r="C16" s="60" t="s">
        <v>1334</v>
      </c>
    </row>
    <row r="17" spans="1:3">
      <c r="A17" s="46">
        <v>1</v>
      </c>
      <c r="B17" s="60" t="s">
        <v>1913</v>
      </c>
      <c r="C17" s="60" t="s">
        <v>1967</v>
      </c>
    </row>
    <row r="18" spans="1:3" ht="17.25">
      <c r="A18" s="46">
        <v>1</v>
      </c>
      <c r="B18" s="149" t="s">
        <v>1914</v>
      </c>
      <c r="C18" s="60" t="s">
        <v>1968</v>
      </c>
    </row>
    <row r="19" spans="1:3">
      <c r="A19" s="46">
        <v>1</v>
      </c>
      <c r="B19" s="46" t="s">
        <v>1886</v>
      </c>
      <c r="C19" s="46" t="s">
        <v>1969</v>
      </c>
    </row>
    <row r="20" spans="1:3">
      <c r="A20" s="46">
        <v>1</v>
      </c>
      <c r="B20" s="46" t="s">
        <v>1915</v>
      </c>
      <c r="C20" s="60" t="s">
        <v>1429</v>
      </c>
    </row>
    <row r="21" spans="1:3">
      <c r="A21" s="46">
        <v>1</v>
      </c>
      <c r="B21" s="60" t="s">
        <v>1916</v>
      </c>
      <c r="C21" s="60" t="s">
        <v>1970</v>
      </c>
    </row>
    <row r="22" spans="1:3">
      <c r="A22" s="46">
        <v>1</v>
      </c>
      <c r="B22" s="60" t="s">
        <v>1917</v>
      </c>
      <c r="C22" s="60" t="s">
        <v>1430</v>
      </c>
    </row>
    <row r="23" spans="1:3">
      <c r="A23" s="46">
        <v>1</v>
      </c>
      <c r="B23" s="46" t="s">
        <v>1918</v>
      </c>
      <c r="C23" s="60" t="s">
        <v>1255</v>
      </c>
    </row>
    <row r="24" spans="1:3" ht="17.25">
      <c r="A24" s="46">
        <v>1</v>
      </c>
      <c r="B24" s="60" t="s">
        <v>1919</v>
      </c>
      <c r="C24" s="149" t="s">
        <v>1971</v>
      </c>
    </row>
    <row r="25" spans="1:3">
      <c r="A25" s="46">
        <v>1</v>
      </c>
      <c r="B25" s="60" t="s">
        <v>1920</v>
      </c>
      <c r="C25" s="151">
        <v>84.458333333333329</v>
      </c>
    </row>
    <row r="26" spans="1:3">
      <c r="A26" s="46">
        <v>1</v>
      </c>
      <c r="B26" s="60" t="s">
        <v>1921</v>
      </c>
      <c r="C26" s="46" t="s">
        <v>1435</v>
      </c>
    </row>
    <row r="27" spans="1:3">
      <c r="A27" s="46">
        <v>1</v>
      </c>
      <c r="B27" s="60" t="s">
        <v>1922</v>
      </c>
      <c r="C27" s="60" t="s">
        <v>1972</v>
      </c>
    </row>
    <row r="28" spans="1:3">
      <c r="A28" s="46">
        <v>1</v>
      </c>
      <c r="B28" s="60" t="s">
        <v>1923</v>
      </c>
      <c r="C28" s="60" t="s">
        <v>1973</v>
      </c>
    </row>
    <row r="29" spans="1:3">
      <c r="A29" s="46">
        <v>1</v>
      </c>
      <c r="B29" s="60" t="s">
        <v>1924</v>
      </c>
      <c r="C29" s="60" t="s">
        <v>1974</v>
      </c>
    </row>
    <row r="30" spans="1:3" ht="17.25">
      <c r="A30" s="46">
        <v>1</v>
      </c>
      <c r="B30" s="149" t="s">
        <v>1925</v>
      </c>
      <c r="C30" s="60" t="s">
        <v>1975</v>
      </c>
    </row>
    <row r="31" spans="1:3">
      <c r="A31" s="46">
        <v>1</v>
      </c>
      <c r="B31" s="46" t="s">
        <v>1926</v>
      </c>
      <c r="C31" s="46" t="s">
        <v>1976</v>
      </c>
    </row>
    <row r="32" spans="1:3">
      <c r="A32" s="46">
        <v>1</v>
      </c>
      <c r="B32" s="60" t="s">
        <v>1927</v>
      </c>
      <c r="C32" s="150" t="s">
        <v>1977</v>
      </c>
    </row>
    <row r="33" spans="1:3">
      <c r="A33" s="46">
        <v>1</v>
      </c>
      <c r="B33" s="60" t="s">
        <v>1928</v>
      </c>
      <c r="C33" s="150" t="s">
        <v>371</v>
      </c>
    </row>
    <row r="34" spans="1:3">
      <c r="A34" s="46">
        <v>1</v>
      </c>
      <c r="B34" s="60" t="s">
        <v>1929</v>
      </c>
      <c r="C34" s="150" t="s">
        <v>1978</v>
      </c>
    </row>
    <row r="35" spans="1:3" ht="23.25">
      <c r="A35" s="46">
        <v>1</v>
      </c>
      <c r="B35" s="148" t="s">
        <v>1930</v>
      </c>
      <c r="C35" s="150" t="s">
        <v>371</v>
      </c>
    </row>
    <row r="36" spans="1:3">
      <c r="A36" s="46">
        <v>1</v>
      </c>
      <c r="B36" s="46" t="s">
        <v>1931</v>
      </c>
      <c r="C36" s="150" t="s">
        <v>1979</v>
      </c>
    </row>
    <row r="37" spans="1:3">
      <c r="A37" s="46">
        <v>1</v>
      </c>
      <c r="B37" s="46" t="s">
        <v>1932</v>
      </c>
      <c r="C37" s="150" t="s">
        <v>371</v>
      </c>
    </row>
    <row r="38" spans="1:3">
      <c r="A38" s="46">
        <v>1</v>
      </c>
      <c r="B38" s="46" t="s">
        <v>1933</v>
      </c>
      <c r="C38" s="150" t="s">
        <v>1980</v>
      </c>
    </row>
    <row r="39" spans="1:3" ht="23.25">
      <c r="A39" s="46">
        <v>1</v>
      </c>
      <c r="B39" s="46" t="s">
        <v>1435</v>
      </c>
      <c r="C39" s="148" t="s">
        <v>1981</v>
      </c>
    </row>
    <row r="40" spans="1:3" ht="17.25">
      <c r="A40" s="46">
        <v>1</v>
      </c>
      <c r="B40" s="149" t="s">
        <v>1880</v>
      </c>
      <c r="C40" s="46" t="s">
        <v>1982</v>
      </c>
    </row>
    <row r="41" spans="1:3">
      <c r="A41" s="46">
        <v>1</v>
      </c>
      <c r="B41" s="60" t="s">
        <v>1773</v>
      </c>
      <c r="C41" s="46" t="s">
        <v>1962</v>
      </c>
    </row>
    <row r="42" spans="1:3" ht="17.25">
      <c r="A42" s="46">
        <v>1</v>
      </c>
      <c r="B42" s="60" t="s">
        <v>1934</v>
      </c>
      <c r="C42" s="149" t="s">
        <v>1466</v>
      </c>
    </row>
    <row r="43" spans="1:3">
      <c r="A43" s="46">
        <v>1</v>
      </c>
      <c r="B43" s="60" t="s">
        <v>1935</v>
      </c>
      <c r="C43" s="46" t="s">
        <v>1983</v>
      </c>
    </row>
    <row r="44" spans="1:3">
      <c r="A44" s="46">
        <v>1</v>
      </c>
      <c r="B44" s="60" t="s">
        <v>1936</v>
      </c>
      <c r="C44" s="60" t="s">
        <v>1984</v>
      </c>
    </row>
    <row r="45" spans="1:3">
      <c r="A45" s="46">
        <v>1</v>
      </c>
      <c r="B45" s="60" t="s">
        <v>1937</v>
      </c>
      <c r="C45" s="60" t="s">
        <v>1985</v>
      </c>
    </row>
    <row r="46" spans="1:3">
      <c r="A46" s="46">
        <v>1</v>
      </c>
      <c r="B46" s="60" t="s">
        <v>1938</v>
      </c>
      <c r="C46" s="60" t="s">
        <v>1986</v>
      </c>
    </row>
    <row r="47" spans="1:3" ht="17.25">
      <c r="A47" s="46">
        <v>1</v>
      </c>
      <c r="B47" s="149" t="s">
        <v>1939</v>
      </c>
      <c r="C47" s="60" t="s">
        <v>1987</v>
      </c>
    </row>
    <row r="48" spans="1:3">
      <c r="A48" s="46">
        <v>1</v>
      </c>
      <c r="B48" s="46" t="s">
        <v>1940</v>
      </c>
      <c r="C48" s="46" t="s">
        <v>374</v>
      </c>
    </row>
    <row r="49" spans="1:3">
      <c r="A49" s="46">
        <v>1</v>
      </c>
      <c r="B49" s="60" t="s">
        <v>1941</v>
      </c>
      <c r="C49" s="46" t="s">
        <v>1988</v>
      </c>
    </row>
    <row r="50" spans="1:3">
      <c r="A50" s="46">
        <v>1</v>
      </c>
      <c r="B50" s="60" t="s">
        <v>1942</v>
      </c>
      <c r="C50" s="60" t="s">
        <v>1722</v>
      </c>
    </row>
    <row r="51" spans="1:3">
      <c r="A51" s="46">
        <v>1</v>
      </c>
      <c r="B51" s="60" t="s">
        <v>1943</v>
      </c>
      <c r="C51" s="60" t="s">
        <v>1957</v>
      </c>
    </row>
    <row r="52" spans="1:3">
      <c r="A52" s="46">
        <v>1</v>
      </c>
      <c r="B52" s="60" t="s">
        <v>1944</v>
      </c>
      <c r="C52" s="46" t="s">
        <v>1989</v>
      </c>
    </row>
    <row r="53" spans="1:3">
      <c r="A53" s="46">
        <v>1</v>
      </c>
      <c r="B53" s="60" t="s">
        <v>1945</v>
      </c>
      <c r="C53" s="46" t="s">
        <v>1990</v>
      </c>
    </row>
    <row r="54" spans="1:3">
      <c r="A54" s="46">
        <v>1</v>
      </c>
      <c r="B54" s="46" t="s">
        <v>1946</v>
      </c>
      <c r="C54" s="60" t="s">
        <v>1991</v>
      </c>
    </row>
    <row r="55" spans="1:3">
      <c r="A55" s="46">
        <v>1</v>
      </c>
      <c r="B55" s="46" t="s">
        <v>1947</v>
      </c>
      <c r="C55" s="60" t="s">
        <v>1992</v>
      </c>
    </row>
    <row r="56" spans="1:3">
      <c r="A56" s="46">
        <v>1</v>
      </c>
      <c r="B56" s="60" t="s">
        <v>1948</v>
      </c>
    </row>
    <row r="57" spans="1:3">
      <c r="A57" s="46">
        <v>1</v>
      </c>
      <c r="B57" s="60" t="s">
        <v>1935</v>
      </c>
    </row>
    <row r="58" spans="1:3">
      <c r="A58" s="46">
        <v>1</v>
      </c>
      <c r="B58" s="60" t="s">
        <v>1949</v>
      </c>
    </row>
    <row r="59" spans="1:3" ht="23.25">
      <c r="A59" s="46">
        <v>1</v>
      </c>
      <c r="B59" s="148" t="s">
        <v>1950</v>
      </c>
    </row>
    <row r="60" spans="1:3">
      <c r="A60" s="46">
        <v>1</v>
      </c>
      <c r="B60" s="46" t="s">
        <v>1951</v>
      </c>
    </row>
    <row r="61" spans="1:3">
      <c r="A61" s="46">
        <v>1</v>
      </c>
      <c r="B61" s="46" t="s">
        <v>1435</v>
      </c>
    </row>
    <row r="62" spans="1:3">
      <c r="A62" s="46">
        <v>1</v>
      </c>
      <c r="B62" s="46" t="s">
        <v>1952</v>
      </c>
    </row>
    <row r="63" spans="1:3">
      <c r="A63" s="46">
        <v>1</v>
      </c>
      <c r="B63" s="46" t="s">
        <v>1914</v>
      </c>
    </row>
    <row r="64" spans="1:3">
      <c r="A64" s="46">
        <v>1</v>
      </c>
      <c r="B64" s="46" t="s">
        <v>371</v>
      </c>
    </row>
    <row r="65" spans="1:3">
      <c r="A65" s="46">
        <v>1</v>
      </c>
      <c r="B65" s="46" t="s">
        <v>1953</v>
      </c>
    </row>
    <row r="66" spans="1:3">
      <c r="A66" s="46">
        <v>1</v>
      </c>
      <c r="B66" s="46" t="s">
        <v>371</v>
      </c>
    </row>
    <row r="67" spans="1:3">
      <c r="A67" s="46">
        <v>1</v>
      </c>
      <c r="B67" s="46" t="s">
        <v>1954</v>
      </c>
    </row>
    <row r="68" spans="1:3">
      <c r="A68" s="46">
        <v>1</v>
      </c>
      <c r="B68" s="46" t="s">
        <v>371</v>
      </c>
    </row>
    <row r="69" spans="1:3">
      <c r="A69" s="46">
        <v>1</v>
      </c>
      <c r="B69" s="46" t="s">
        <v>1955</v>
      </c>
    </row>
    <row r="70" spans="1:3">
      <c r="A70" s="46">
        <v>1</v>
      </c>
      <c r="B70" s="46" t="s">
        <v>1926</v>
      </c>
    </row>
    <row r="71" spans="1:3">
      <c r="A71" s="46">
        <v>1</v>
      </c>
      <c r="B71" s="60" t="s">
        <v>1722</v>
      </c>
    </row>
    <row r="72" spans="1:3">
      <c r="A72" s="46">
        <v>1</v>
      </c>
      <c r="B72" s="60" t="s">
        <v>1956</v>
      </c>
    </row>
    <row r="73" spans="1:3">
      <c r="A73" s="46">
        <v>1</v>
      </c>
      <c r="B73" s="60" t="s">
        <v>1957</v>
      </c>
    </row>
    <row r="74" spans="1:3">
      <c r="A74" s="46">
        <v>1</v>
      </c>
    </row>
    <row r="75" spans="1:3">
      <c r="A75" s="46">
        <v>1</v>
      </c>
      <c r="B75" t="s">
        <v>1993</v>
      </c>
    </row>
    <row r="76" spans="1:3">
      <c r="A76" s="46">
        <v>1</v>
      </c>
      <c r="B76" t="s">
        <v>1994</v>
      </c>
    </row>
    <row r="77" spans="1:3" ht="30">
      <c r="A77" s="46">
        <v>1</v>
      </c>
      <c r="B77" s="145" t="s">
        <v>1995</v>
      </c>
      <c r="C77" s="145" t="s">
        <v>2010</v>
      </c>
    </row>
    <row r="78" spans="1:3">
      <c r="A78" s="46">
        <v>1</v>
      </c>
      <c r="B78" t="s">
        <v>1996</v>
      </c>
      <c r="C78" t="s">
        <v>2011</v>
      </c>
    </row>
    <row r="79" spans="1:3" ht="23.25">
      <c r="A79" s="46">
        <v>1</v>
      </c>
      <c r="B79" s="112" t="s">
        <v>1997</v>
      </c>
      <c r="C79" t="s">
        <v>1435</v>
      </c>
    </row>
    <row r="80" spans="1:3" ht="23.25">
      <c r="A80" s="46">
        <v>1</v>
      </c>
      <c r="B80" t="s">
        <v>1435</v>
      </c>
      <c r="C80" s="112" t="s">
        <v>2012</v>
      </c>
    </row>
    <row r="81" spans="1:3" ht="17.25">
      <c r="A81" s="46">
        <v>1</v>
      </c>
      <c r="B81" s="113" t="s">
        <v>1998</v>
      </c>
      <c r="C81" t="s">
        <v>1886</v>
      </c>
    </row>
    <row r="82" spans="1:3" ht="17.25">
      <c r="A82" s="46">
        <v>1</v>
      </c>
      <c r="B82" t="s">
        <v>292</v>
      </c>
      <c r="C82" s="113" t="s">
        <v>1973</v>
      </c>
    </row>
    <row r="83" spans="1:3">
      <c r="A83" s="46">
        <v>1</v>
      </c>
      <c r="B83" t="s">
        <v>1999</v>
      </c>
      <c r="C83" t="s">
        <v>292</v>
      </c>
    </row>
    <row r="84" spans="1:3" ht="17.25">
      <c r="A84" s="46">
        <v>1</v>
      </c>
      <c r="B84" s="113" t="s">
        <v>1887</v>
      </c>
      <c r="C84" t="s">
        <v>2013</v>
      </c>
    </row>
    <row r="85" spans="1:3">
      <c r="A85" s="46">
        <v>1</v>
      </c>
      <c r="B85" t="s">
        <v>1940</v>
      </c>
      <c r="C85" s="146" t="s">
        <v>2014</v>
      </c>
    </row>
    <row r="86" spans="1:3">
      <c r="A86" s="46">
        <v>1</v>
      </c>
      <c r="B86" s="96" t="s">
        <v>2000</v>
      </c>
      <c r="C86" s="146" t="s">
        <v>2015</v>
      </c>
    </row>
    <row r="87" spans="1:3">
      <c r="A87" s="46">
        <v>1</v>
      </c>
      <c r="B87" s="96" t="s">
        <v>2001</v>
      </c>
      <c r="C87" s="146" t="s">
        <v>2016</v>
      </c>
    </row>
    <row r="88" spans="1:3">
      <c r="A88" s="46">
        <v>1</v>
      </c>
      <c r="B88" s="96" t="s">
        <v>2002</v>
      </c>
      <c r="C88" s="146" t="s">
        <v>2015</v>
      </c>
    </row>
    <row r="89" spans="1:3" ht="17.25">
      <c r="A89" s="46">
        <v>1</v>
      </c>
      <c r="B89" s="113" t="s">
        <v>2003</v>
      </c>
      <c r="C89" s="146" t="s">
        <v>2017</v>
      </c>
    </row>
    <row r="90" spans="1:3">
      <c r="A90" s="46">
        <v>1</v>
      </c>
      <c r="B90" t="s">
        <v>1940</v>
      </c>
      <c r="C90" s="146" t="s">
        <v>2015</v>
      </c>
    </row>
    <row r="91" spans="1:3">
      <c r="A91" s="46">
        <v>1</v>
      </c>
      <c r="B91" t="s">
        <v>2004</v>
      </c>
      <c r="C91" s="146" t="s">
        <v>2018</v>
      </c>
    </row>
    <row r="92" spans="1:3" ht="17.25">
      <c r="A92" s="46">
        <v>1</v>
      </c>
      <c r="B92" s="113" t="s">
        <v>2005</v>
      </c>
      <c r="C92" s="146" t="s">
        <v>371</v>
      </c>
    </row>
    <row r="93" spans="1:3">
      <c r="A93" s="46">
        <v>1</v>
      </c>
      <c r="B93" t="s">
        <v>292</v>
      </c>
      <c r="C93" s="146" t="s">
        <v>2019</v>
      </c>
    </row>
    <row r="94" spans="1:3" ht="17.25">
      <c r="A94" s="46">
        <v>1</v>
      </c>
      <c r="B94" t="s">
        <v>2006</v>
      </c>
      <c r="C94" s="113" t="s">
        <v>2020</v>
      </c>
    </row>
    <row r="95" spans="1:3">
      <c r="A95" s="46">
        <v>1</v>
      </c>
      <c r="B95" s="146" t="s">
        <v>2007</v>
      </c>
      <c r="C95" t="s">
        <v>1435</v>
      </c>
    </row>
    <row r="96" spans="1:3">
      <c r="A96" s="46">
        <v>1</v>
      </c>
      <c r="B96" s="146" t="s">
        <v>371</v>
      </c>
      <c r="C96" s="96" t="s">
        <v>2021</v>
      </c>
    </row>
    <row r="97" spans="1:3">
      <c r="A97" s="46">
        <v>1</v>
      </c>
      <c r="B97" s="146" t="s">
        <v>1031</v>
      </c>
      <c r="C97" s="96" t="s">
        <v>2022</v>
      </c>
    </row>
    <row r="98" spans="1:3">
      <c r="A98" s="46">
        <v>1</v>
      </c>
      <c r="B98" s="146" t="s">
        <v>371</v>
      </c>
      <c r="C98" s="96" t="s">
        <v>2023</v>
      </c>
    </row>
    <row r="99" spans="1:3" ht="17.25">
      <c r="A99" s="46">
        <v>1</v>
      </c>
      <c r="B99" s="146" t="s">
        <v>2008</v>
      </c>
      <c r="C99" s="113" t="s">
        <v>2024</v>
      </c>
    </row>
    <row r="100" spans="1:3">
      <c r="A100" s="46">
        <v>1</v>
      </c>
      <c r="B100" s="146" t="s">
        <v>371</v>
      </c>
      <c r="C100" t="s">
        <v>2025</v>
      </c>
    </row>
    <row r="101" spans="1:3">
      <c r="A101" s="46">
        <v>1</v>
      </c>
      <c r="B101" s="146" t="s">
        <v>2009</v>
      </c>
      <c r="C101" t="s">
        <v>2026</v>
      </c>
    </row>
    <row r="102" spans="1:3">
      <c r="A102" s="46">
        <v>1</v>
      </c>
      <c r="C102" s="96" t="s">
        <v>2027</v>
      </c>
    </row>
    <row r="103" spans="1:3">
      <c r="A103" s="46">
        <v>1</v>
      </c>
      <c r="C103" t="s">
        <v>2028</v>
      </c>
    </row>
    <row r="104" spans="1:3">
      <c r="A104" s="46">
        <v>1</v>
      </c>
      <c r="C104" s="96" t="s">
        <v>2029</v>
      </c>
    </row>
    <row r="105" spans="1:3">
      <c r="A105" s="46">
        <v>1</v>
      </c>
      <c r="C105" t="s">
        <v>2030</v>
      </c>
    </row>
    <row r="106" spans="1:3">
      <c r="A106" s="46">
        <v>1</v>
      </c>
      <c r="C106" s="96" t="s">
        <v>2031</v>
      </c>
    </row>
    <row r="107" spans="1:3">
      <c r="A107" s="46">
        <v>1</v>
      </c>
    </row>
    <row r="108" spans="1:3">
      <c r="A108" s="46">
        <v>1</v>
      </c>
    </row>
    <row r="109" spans="1:3" ht="30">
      <c r="A109" s="46">
        <v>1</v>
      </c>
      <c r="B109" s="145" t="s">
        <v>2032</v>
      </c>
    </row>
    <row r="110" spans="1:3">
      <c r="A110" s="46">
        <v>1</v>
      </c>
      <c r="B110" t="s">
        <v>2033</v>
      </c>
    </row>
    <row r="111" spans="1:3">
      <c r="A111" s="46">
        <v>1</v>
      </c>
      <c r="B111" t="s">
        <v>2034</v>
      </c>
    </row>
    <row r="112" spans="1:3">
      <c r="A112" s="46">
        <v>1</v>
      </c>
      <c r="B112" t="s">
        <v>2035</v>
      </c>
    </row>
    <row r="113" spans="1:2">
      <c r="A113" s="46">
        <v>1</v>
      </c>
      <c r="B113" t="s">
        <v>2036</v>
      </c>
    </row>
    <row r="114" spans="1:2">
      <c r="A114" s="46">
        <v>1</v>
      </c>
      <c r="B114" t="s">
        <v>2037</v>
      </c>
    </row>
    <row r="115" spans="1:2">
      <c r="A115" s="46">
        <v>1</v>
      </c>
      <c r="B115" t="s">
        <v>1414</v>
      </c>
    </row>
    <row r="116" spans="1:2" ht="23.25">
      <c r="A116" s="46">
        <v>1</v>
      </c>
      <c r="B116" s="112" t="s">
        <v>2038</v>
      </c>
    </row>
    <row r="117" spans="1:2">
      <c r="A117" s="46">
        <v>1</v>
      </c>
      <c r="B117" t="s">
        <v>292</v>
      </c>
    </row>
    <row r="118" spans="1:2">
      <c r="A118" s="46">
        <v>1</v>
      </c>
      <c r="B118" t="s">
        <v>2039</v>
      </c>
    </row>
    <row r="119" spans="1:2">
      <c r="A119" s="46">
        <v>1</v>
      </c>
      <c r="B119" t="s">
        <v>2040</v>
      </c>
    </row>
    <row r="120" spans="1:2">
      <c r="A120" s="46">
        <v>1</v>
      </c>
      <c r="B120" t="s">
        <v>2041</v>
      </c>
    </row>
    <row r="121" spans="1:2">
      <c r="A121" s="46">
        <v>1</v>
      </c>
      <c r="B121" t="s">
        <v>2042</v>
      </c>
    </row>
    <row r="122" spans="1:2">
      <c r="A122" s="46">
        <v>1</v>
      </c>
      <c r="B122" t="s">
        <v>2043</v>
      </c>
    </row>
    <row r="123" spans="1:2">
      <c r="A123" s="46">
        <v>1</v>
      </c>
      <c r="B123" t="s">
        <v>2041</v>
      </c>
    </row>
    <row r="124" spans="1:2">
      <c r="A124" s="46">
        <v>1</v>
      </c>
      <c r="B124" t="s">
        <v>2044</v>
      </c>
    </row>
    <row r="125" spans="1:2">
      <c r="A125" s="46">
        <v>1</v>
      </c>
      <c r="B125" t="s">
        <v>2045</v>
      </c>
    </row>
    <row r="126" spans="1:2">
      <c r="A126" s="46">
        <v>1</v>
      </c>
      <c r="B126" t="s">
        <v>2046</v>
      </c>
    </row>
    <row r="127" spans="1:2">
      <c r="A127" s="46">
        <v>1</v>
      </c>
      <c r="B127" t="s">
        <v>2047</v>
      </c>
    </row>
    <row r="128" spans="1:2">
      <c r="A128" s="46">
        <v>1</v>
      </c>
      <c r="B128" t="s">
        <v>2048</v>
      </c>
    </row>
    <row r="129" spans="1:2">
      <c r="A129" s="46">
        <v>1</v>
      </c>
      <c r="B129" t="s">
        <v>2049</v>
      </c>
    </row>
    <row r="130" spans="1:2">
      <c r="A130" s="46">
        <v>1</v>
      </c>
      <c r="B130" t="s">
        <v>2050</v>
      </c>
    </row>
    <row r="134" spans="1:2">
      <c r="A134" s="46">
        <v>1</v>
      </c>
      <c r="B134" t="s">
        <v>2053</v>
      </c>
    </row>
    <row r="135" spans="1:2">
      <c r="A135" s="46">
        <v>1</v>
      </c>
      <c r="B135" s="96" t="s">
        <v>2054</v>
      </c>
    </row>
    <row r="136" spans="1:2">
      <c r="A136" s="46">
        <v>1</v>
      </c>
      <c r="B136" s="96" t="s">
        <v>2055</v>
      </c>
    </row>
    <row r="137" spans="1:2">
      <c r="A137" s="46">
        <v>1</v>
      </c>
      <c r="B137" s="96" t="s">
        <v>2056</v>
      </c>
    </row>
    <row r="138" spans="1:2">
      <c r="A138" s="46">
        <v>1</v>
      </c>
      <c r="B138" s="96" t="s">
        <v>2057</v>
      </c>
    </row>
    <row r="139" spans="1:2">
      <c r="A139" s="46">
        <v>1</v>
      </c>
      <c r="B139" s="96" t="s">
        <v>2058</v>
      </c>
    </row>
    <row r="140" spans="1:2">
      <c r="A140" s="46">
        <v>1</v>
      </c>
      <c r="B140" t="s">
        <v>2059</v>
      </c>
    </row>
    <row r="141" spans="1:2">
      <c r="A141" s="46">
        <v>1</v>
      </c>
      <c r="B141" t="s">
        <v>2060</v>
      </c>
    </row>
    <row r="142" spans="1:2">
      <c r="A142" s="46">
        <v>1</v>
      </c>
      <c r="B142" t="s">
        <v>2061</v>
      </c>
    </row>
    <row r="143" spans="1:2">
      <c r="A143" s="46">
        <v>1</v>
      </c>
      <c r="B143" s="152" t="s">
        <v>2062</v>
      </c>
    </row>
    <row r="144" spans="1:2">
      <c r="A144" s="46">
        <v>1</v>
      </c>
      <c r="B144" t="s">
        <v>2063</v>
      </c>
    </row>
    <row r="145" spans="1:2" ht="30">
      <c r="A145" s="46">
        <v>1</v>
      </c>
      <c r="B145" s="145" t="s">
        <v>2064</v>
      </c>
    </row>
    <row r="146" spans="1:2" ht="23.25">
      <c r="A146" s="46">
        <v>1</v>
      </c>
      <c r="B146" s="112" t="s">
        <v>2065</v>
      </c>
    </row>
    <row r="147" spans="1:2" ht="17.25">
      <c r="A147" s="46">
        <v>1</v>
      </c>
      <c r="B147" s="113" t="s">
        <v>2066</v>
      </c>
    </row>
    <row r="148" spans="1:2">
      <c r="A148" s="46">
        <v>1</v>
      </c>
      <c r="B148" t="s">
        <v>292</v>
      </c>
    </row>
    <row r="149" spans="1:2">
      <c r="A149" s="46">
        <v>1</v>
      </c>
      <c r="B149" s="96" t="s">
        <v>2067</v>
      </c>
    </row>
    <row r="150" spans="1:2">
      <c r="A150" s="46">
        <v>1</v>
      </c>
      <c r="B150" s="96" t="s">
        <v>1028</v>
      </c>
    </row>
    <row r="151" spans="1:2">
      <c r="A151" s="46">
        <v>1</v>
      </c>
      <c r="B151" s="96" t="s">
        <v>1745</v>
      </c>
    </row>
    <row r="152" spans="1:2">
      <c r="A152" s="46">
        <v>1</v>
      </c>
      <c r="B152" s="96" t="s">
        <v>2068</v>
      </c>
    </row>
    <row r="153" spans="1:2">
      <c r="A153" s="46">
        <v>1</v>
      </c>
      <c r="B153" s="96" t="s">
        <v>2069</v>
      </c>
    </row>
    <row r="154" spans="1:2">
      <c r="A154" s="46">
        <v>1</v>
      </c>
      <c r="B154" s="96" t="s">
        <v>2070</v>
      </c>
    </row>
    <row r="155" spans="1:2">
      <c r="A155" s="46">
        <v>1</v>
      </c>
      <c r="B155" s="96" t="s">
        <v>2071</v>
      </c>
    </row>
    <row r="156" spans="1:2">
      <c r="A156" s="46">
        <v>1</v>
      </c>
      <c r="B156" t="s">
        <v>2072</v>
      </c>
    </row>
    <row r="157" spans="1:2">
      <c r="A157" s="46">
        <v>1</v>
      </c>
      <c r="B157" t="s">
        <v>2073</v>
      </c>
    </row>
    <row r="158" spans="1:2">
      <c r="A158" s="46">
        <v>1</v>
      </c>
      <c r="B158" t="s">
        <v>2074</v>
      </c>
    </row>
    <row r="159" spans="1:2">
      <c r="A159" s="46">
        <v>1</v>
      </c>
      <c r="B159" t="s">
        <v>2075</v>
      </c>
    </row>
    <row r="160" spans="1:2">
      <c r="A160" s="46">
        <v>1</v>
      </c>
      <c r="B160" s="96" t="s">
        <v>2076</v>
      </c>
    </row>
    <row r="161" spans="1:2">
      <c r="A161" s="46">
        <v>1</v>
      </c>
      <c r="B161" s="96" t="s">
        <v>2077</v>
      </c>
    </row>
    <row r="162" spans="1:2">
      <c r="A162" s="46">
        <v>1</v>
      </c>
      <c r="B162" s="96" t="s">
        <v>2078</v>
      </c>
    </row>
    <row r="163" spans="1:2">
      <c r="A163" s="46">
        <v>1</v>
      </c>
      <c r="B163" t="s">
        <v>2079</v>
      </c>
    </row>
    <row r="164" spans="1:2" ht="23.25">
      <c r="A164" s="46">
        <v>1</v>
      </c>
      <c r="B164" s="112" t="s">
        <v>2080</v>
      </c>
    </row>
    <row r="165" spans="1:2" ht="17.25">
      <c r="A165" s="46">
        <v>1</v>
      </c>
      <c r="B165" s="113" t="s">
        <v>2081</v>
      </c>
    </row>
    <row r="166" spans="1:2">
      <c r="A166" s="46">
        <v>1</v>
      </c>
      <c r="B166" t="s">
        <v>292</v>
      </c>
    </row>
    <row r="167" spans="1:2">
      <c r="A167" s="46">
        <v>1</v>
      </c>
      <c r="B167" t="s">
        <v>2082</v>
      </c>
    </row>
    <row r="168" spans="1:2">
      <c r="A168" s="46">
        <v>1</v>
      </c>
      <c r="B168" t="s">
        <v>2083</v>
      </c>
    </row>
    <row r="169" spans="1:2">
      <c r="A169" s="46">
        <v>1</v>
      </c>
      <c r="B169" t="s">
        <v>2084</v>
      </c>
    </row>
    <row r="170" spans="1:2">
      <c r="A170" s="46">
        <v>1</v>
      </c>
      <c r="B170" t="s">
        <v>2085</v>
      </c>
    </row>
    <row r="171" spans="1:2">
      <c r="A171" s="46">
        <v>1</v>
      </c>
      <c r="B171" t="s">
        <v>2086</v>
      </c>
    </row>
    <row r="172" spans="1:2">
      <c r="A172" s="46">
        <v>1</v>
      </c>
      <c r="B172" t="s">
        <v>2087</v>
      </c>
    </row>
    <row r="173" spans="1:2" ht="17.25">
      <c r="A173" s="46">
        <v>1</v>
      </c>
      <c r="B173" s="113" t="s">
        <v>2088</v>
      </c>
    </row>
    <row r="174" spans="1:2">
      <c r="A174" s="46">
        <v>1</v>
      </c>
      <c r="B174" t="s">
        <v>1446</v>
      </c>
    </row>
    <row r="175" spans="1:2">
      <c r="A175" s="46">
        <v>1</v>
      </c>
      <c r="B175" t="s">
        <v>2089</v>
      </c>
    </row>
    <row r="176" spans="1:2">
      <c r="A176" s="46">
        <v>1</v>
      </c>
      <c r="B176" t="s">
        <v>2084</v>
      </c>
    </row>
    <row r="177" spans="1:2">
      <c r="A177" s="46">
        <v>1</v>
      </c>
      <c r="B177" t="s">
        <v>2090</v>
      </c>
    </row>
    <row r="178" spans="1:2">
      <c r="A178" s="46">
        <v>1</v>
      </c>
      <c r="B178" t="s">
        <v>2091</v>
      </c>
    </row>
    <row r="179" spans="1:2" ht="17.25">
      <c r="A179" s="46">
        <v>1</v>
      </c>
      <c r="B179" s="113" t="s">
        <v>2092</v>
      </c>
    </row>
    <row r="180" spans="1:2">
      <c r="A180" s="46">
        <v>1</v>
      </c>
      <c r="B180" t="s">
        <v>292</v>
      </c>
    </row>
    <row r="181" spans="1:2">
      <c r="A181" s="46">
        <v>1</v>
      </c>
      <c r="B181" t="s">
        <v>2093</v>
      </c>
    </row>
    <row r="182" spans="1:2">
      <c r="A182" s="46">
        <v>1</v>
      </c>
      <c r="B182" s="96" t="s">
        <v>1421</v>
      </c>
    </row>
    <row r="183" spans="1:2">
      <c r="A183" s="46">
        <v>1</v>
      </c>
      <c r="B183" s="96" t="s">
        <v>2094</v>
      </c>
    </row>
    <row r="184" spans="1:2">
      <c r="A184" s="46">
        <v>1</v>
      </c>
      <c r="B184" s="96" t="s">
        <v>2095</v>
      </c>
    </row>
    <row r="185" spans="1:2">
      <c r="A185" s="46">
        <v>1</v>
      </c>
      <c r="B185" t="s">
        <v>2096</v>
      </c>
    </row>
    <row r="186" spans="1:2" ht="30">
      <c r="A186" s="46">
        <v>1</v>
      </c>
      <c r="B186" s="145" t="s">
        <v>2097</v>
      </c>
    </row>
    <row r="187" spans="1:2" ht="23.25">
      <c r="A187" s="46">
        <v>1</v>
      </c>
      <c r="B187" s="112" t="s">
        <v>2098</v>
      </c>
    </row>
    <row r="188" spans="1:2">
      <c r="A188" s="46">
        <v>1</v>
      </c>
      <c r="B188" t="s">
        <v>2099</v>
      </c>
    </row>
    <row r="189" spans="1:2">
      <c r="A189" s="46">
        <v>1</v>
      </c>
      <c r="B189" t="s">
        <v>1317</v>
      </c>
    </row>
    <row r="190" spans="1:2" ht="17.25">
      <c r="A190" s="46">
        <v>1</v>
      </c>
      <c r="B190" s="113" t="s">
        <v>1881</v>
      </c>
    </row>
    <row r="191" spans="1:2">
      <c r="A191" s="46">
        <v>1</v>
      </c>
      <c r="B191" t="s">
        <v>433</v>
      </c>
    </row>
    <row r="192" spans="1:2">
      <c r="A192" s="46">
        <v>1</v>
      </c>
      <c r="B192" t="s">
        <v>2100</v>
      </c>
    </row>
    <row r="193" spans="1:2">
      <c r="A193" s="46">
        <v>1</v>
      </c>
      <c r="B193" t="s">
        <v>2101</v>
      </c>
    </row>
    <row r="194" spans="1:2">
      <c r="A194" s="46">
        <v>1</v>
      </c>
      <c r="B194" t="s">
        <v>2102</v>
      </c>
    </row>
    <row r="195" spans="1:2">
      <c r="A195" s="46">
        <v>1</v>
      </c>
      <c r="B195" t="s">
        <v>2103</v>
      </c>
    </row>
    <row r="196" spans="1:2">
      <c r="A196" s="46">
        <v>1</v>
      </c>
      <c r="B196" s="96" t="s">
        <v>2104</v>
      </c>
    </row>
    <row r="197" spans="1:2">
      <c r="A197" s="46">
        <v>1</v>
      </c>
      <c r="B197" s="96" t="s">
        <v>1756</v>
      </c>
    </row>
    <row r="198" spans="1:2">
      <c r="A198" s="46">
        <v>1</v>
      </c>
      <c r="B198" s="96" t="s">
        <v>2105</v>
      </c>
    </row>
    <row r="199" spans="1:2">
      <c r="A199" s="46">
        <v>1</v>
      </c>
      <c r="B199" t="s">
        <v>2106</v>
      </c>
    </row>
    <row r="200" spans="1:2">
      <c r="A200" s="46">
        <v>1</v>
      </c>
      <c r="B200" t="s">
        <v>2107</v>
      </c>
    </row>
    <row r="201" spans="1:2" ht="17.25">
      <c r="A201" s="46">
        <v>1</v>
      </c>
      <c r="B201" s="113" t="s">
        <v>1757</v>
      </c>
    </row>
    <row r="202" spans="1:2">
      <c r="A202" s="46">
        <v>1</v>
      </c>
      <c r="B202" t="s">
        <v>1435</v>
      </c>
    </row>
    <row r="203" spans="1:2">
      <c r="A203" s="46">
        <v>1</v>
      </c>
      <c r="B203" s="96" t="s">
        <v>2108</v>
      </c>
    </row>
    <row r="204" spans="1:2">
      <c r="A204" s="46">
        <v>1</v>
      </c>
      <c r="B204" s="96" t="s">
        <v>1924</v>
      </c>
    </row>
    <row r="205" spans="1:2">
      <c r="A205" s="46">
        <v>1</v>
      </c>
      <c r="B205" s="96" t="s">
        <v>2109</v>
      </c>
    </row>
    <row r="206" spans="1:2">
      <c r="A206" s="46">
        <v>1</v>
      </c>
      <c r="B206" t="s">
        <v>2110</v>
      </c>
    </row>
    <row r="207" spans="1:2" ht="17.25">
      <c r="A207" s="46">
        <v>1</v>
      </c>
      <c r="B207" s="113" t="s">
        <v>2111</v>
      </c>
    </row>
    <row r="208" spans="1:2">
      <c r="A208" s="46">
        <v>1</v>
      </c>
      <c r="B208" t="s">
        <v>2112</v>
      </c>
    </row>
    <row r="209" spans="1:2">
      <c r="A209" s="46">
        <v>1</v>
      </c>
      <c r="B209" t="s">
        <v>1435</v>
      </c>
    </row>
    <row r="210" spans="1:2">
      <c r="A210" s="46">
        <v>1</v>
      </c>
      <c r="B210" t="s">
        <v>2113</v>
      </c>
    </row>
    <row r="211" spans="1:2">
      <c r="A211" s="46">
        <v>1</v>
      </c>
      <c r="B211" t="s">
        <v>2114</v>
      </c>
    </row>
    <row r="212" spans="1:2">
      <c r="A212" s="46">
        <v>1</v>
      </c>
      <c r="B212" s="96" t="s">
        <v>2115</v>
      </c>
    </row>
    <row r="213" spans="1:2">
      <c r="A213" s="46">
        <v>1</v>
      </c>
      <c r="B213" s="96" t="s">
        <v>1773</v>
      </c>
    </row>
    <row r="214" spans="1:2">
      <c r="A214" s="46">
        <v>1</v>
      </c>
      <c r="B214" s="96" t="s">
        <v>2116</v>
      </c>
    </row>
    <row r="215" spans="1:2">
      <c r="A215" s="46">
        <v>1</v>
      </c>
      <c r="B215" s="96" t="s">
        <v>2117</v>
      </c>
    </row>
    <row r="216" spans="1:2">
      <c r="A216" s="46">
        <v>1</v>
      </c>
      <c r="B216" t="s">
        <v>2118</v>
      </c>
    </row>
    <row r="217" spans="1:2">
      <c r="A217" s="46">
        <v>1</v>
      </c>
      <c r="B217" t="s">
        <v>2119</v>
      </c>
    </row>
    <row r="218" spans="1:2" ht="30">
      <c r="A218" s="46">
        <v>1</v>
      </c>
      <c r="B218" s="145" t="s">
        <v>2120</v>
      </c>
    </row>
    <row r="219" spans="1:2">
      <c r="A219" s="46">
        <v>1</v>
      </c>
      <c r="B219" t="s">
        <v>2121</v>
      </c>
    </row>
    <row r="220" spans="1:2">
      <c r="A220" s="46">
        <v>1</v>
      </c>
      <c r="B220" t="s">
        <v>1367</v>
      </c>
    </row>
    <row r="221" spans="1:2" ht="23.25">
      <c r="A221" s="46">
        <v>1</v>
      </c>
      <c r="B221" s="112" t="s">
        <v>2122</v>
      </c>
    </row>
    <row r="222" spans="1:2">
      <c r="A222" s="46">
        <v>1</v>
      </c>
      <c r="B222" t="s">
        <v>2123</v>
      </c>
    </row>
    <row r="223" spans="1:2">
      <c r="A223" s="46">
        <v>1</v>
      </c>
      <c r="B223" t="s">
        <v>2124</v>
      </c>
    </row>
    <row r="224" spans="1:2">
      <c r="A224" s="46">
        <v>1</v>
      </c>
      <c r="B224" t="s">
        <v>2125</v>
      </c>
    </row>
    <row r="225" spans="1:2">
      <c r="A225" s="46">
        <v>1</v>
      </c>
      <c r="B225" t="s">
        <v>2126</v>
      </c>
    </row>
    <row r="226" spans="1:2">
      <c r="A226" s="46">
        <v>1</v>
      </c>
      <c r="B226" t="s">
        <v>2127</v>
      </c>
    </row>
    <row r="227" spans="1:2" ht="23.25">
      <c r="A227" s="46">
        <v>1</v>
      </c>
      <c r="B227" s="112" t="s">
        <v>2128</v>
      </c>
    </row>
    <row r="228" spans="1:2">
      <c r="A228" s="46">
        <v>1</v>
      </c>
      <c r="B228" t="s">
        <v>2129</v>
      </c>
    </row>
    <row r="229" spans="1:2">
      <c r="A229" s="46">
        <v>1</v>
      </c>
      <c r="B229" t="s">
        <v>2118</v>
      </c>
    </row>
    <row r="230" spans="1:2">
      <c r="A230" s="46">
        <v>1</v>
      </c>
      <c r="B230" t="s">
        <v>2130</v>
      </c>
    </row>
    <row r="231" spans="1:2">
      <c r="A231" s="46">
        <v>1</v>
      </c>
      <c r="B231" t="s">
        <v>2131</v>
      </c>
    </row>
    <row r="232" spans="1:2">
      <c r="A232" s="46">
        <v>1</v>
      </c>
      <c r="B232" t="s">
        <v>2132</v>
      </c>
    </row>
    <row r="233" spans="1:2">
      <c r="A233" s="46">
        <v>1</v>
      </c>
      <c r="B233" s="96" t="s">
        <v>2133</v>
      </c>
    </row>
    <row r="234" spans="1:2">
      <c r="A234" s="46">
        <v>1</v>
      </c>
      <c r="B234" s="96" t="s">
        <v>2134</v>
      </c>
    </row>
    <row r="235" spans="1:2">
      <c r="A235" s="46">
        <v>1</v>
      </c>
      <c r="B235" s="96" t="s">
        <v>1888</v>
      </c>
    </row>
    <row r="236" spans="1:2">
      <c r="A236" s="46">
        <v>1</v>
      </c>
      <c r="B236" s="96" t="s">
        <v>2135</v>
      </c>
    </row>
    <row r="237" spans="1:2">
      <c r="A237" s="46">
        <v>1</v>
      </c>
      <c r="B237" t="s">
        <v>2136</v>
      </c>
    </row>
    <row r="238" spans="1:2">
      <c r="A238" s="46">
        <v>1</v>
      </c>
      <c r="B238" t="s">
        <v>2137</v>
      </c>
    </row>
    <row r="239" spans="1:2">
      <c r="A239" s="46">
        <v>1</v>
      </c>
      <c r="B239" t="s">
        <v>292</v>
      </c>
    </row>
    <row r="240" spans="1:2">
      <c r="A240" s="46">
        <v>1</v>
      </c>
      <c r="B240" t="s">
        <v>2138</v>
      </c>
    </row>
    <row r="241" spans="1:2">
      <c r="A241" s="46">
        <v>1</v>
      </c>
      <c r="B241" t="s">
        <v>2139</v>
      </c>
    </row>
    <row r="242" spans="1:2">
      <c r="A242" s="46">
        <v>1</v>
      </c>
      <c r="B242" t="s">
        <v>2140</v>
      </c>
    </row>
    <row r="243" spans="1:2">
      <c r="A243" s="46">
        <v>1</v>
      </c>
      <c r="B243" t="s">
        <v>2141</v>
      </c>
    </row>
    <row r="244" spans="1:2">
      <c r="A244" s="46">
        <v>1</v>
      </c>
      <c r="B244" t="s">
        <v>2142</v>
      </c>
    </row>
    <row r="245" spans="1:2">
      <c r="A245" s="46">
        <v>1</v>
      </c>
      <c r="B245" t="s">
        <v>2143</v>
      </c>
    </row>
    <row r="246" spans="1:2" ht="30">
      <c r="A246" s="46">
        <v>1</v>
      </c>
      <c r="B246" s="145" t="s">
        <v>2144</v>
      </c>
    </row>
    <row r="247" spans="1:2">
      <c r="A247" s="46">
        <v>1</v>
      </c>
      <c r="B247" t="s">
        <v>2145</v>
      </c>
    </row>
    <row r="248" spans="1:2">
      <c r="A248" s="46">
        <v>1</v>
      </c>
      <c r="B248" t="s">
        <v>2146</v>
      </c>
    </row>
    <row r="249" spans="1:2">
      <c r="A249" s="46">
        <v>1</v>
      </c>
      <c r="B249" t="s">
        <v>2147</v>
      </c>
    </row>
    <row r="250" spans="1:2" ht="23.25">
      <c r="A250" s="46">
        <v>1</v>
      </c>
      <c r="B250" s="112" t="s">
        <v>2148</v>
      </c>
    </row>
    <row r="251" spans="1:2">
      <c r="A251" s="46">
        <v>1</v>
      </c>
      <c r="B251" t="s">
        <v>2149</v>
      </c>
    </row>
    <row r="252" spans="1:2">
      <c r="A252" s="46">
        <v>1</v>
      </c>
      <c r="B252" t="s">
        <v>1414</v>
      </c>
    </row>
    <row r="253" spans="1:2">
      <c r="A253" s="46">
        <v>1</v>
      </c>
      <c r="B253" t="s">
        <v>2150</v>
      </c>
    </row>
    <row r="254" spans="1:2">
      <c r="A254" s="46">
        <v>1</v>
      </c>
      <c r="B254" t="s">
        <v>2151</v>
      </c>
    </row>
    <row r="255" spans="1:2" ht="17.25">
      <c r="A255" s="46">
        <v>1</v>
      </c>
      <c r="B255" s="113" t="s">
        <v>2152</v>
      </c>
    </row>
    <row r="256" spans="1:2">
      <c r="A256" s="46">
        <v>1</v>
      </c>
      <c r="B256" s="96" t="s">
        <v>2153</v>
      </c>
    </row>
    <row r="257" spans="1:2">
      <c r="A257" s="46">
        <v>1</v>
      </c>
      <c r="B257" s="96" t="s">
        <v>2154</v>
      </c>
    </row>
    <row r="258" spans="1:2">
      <c r="A258" s="46">
        <v>1</v>
      </c>
      <c r="B258" s="96" t="s">
        <v>2155</v>
      </c>
    </row>
    <row r="259" spans="1:2" ht="17.25">
      <c r="A259" s="46">
        <v>1</v>
      </c>
      <c r="B259" s="113" t="s">
        <v>2156</v>
      </c>
    </row>
    <row r="260" spans="1:2">
      <c r="A260" s="46">
        <v>1</v>
      </c>
      <c r="B260" s="96" t="s">
        <v>2157</v>
      </c>
    </row>
    <row r="261" spans="1:2">
      <c r="A261" s="46">
        <v>1</v>
      </c>
      <c r="B261" s="96" t="s">
        <v>2158</v>
      </c>
    </row>
    <row r="262" spans="1:2">
      <c r="A262" s="46">
        <v>1</v>
      </c>
      <c r="B262" s="96" t="s">
        <v>2159</v>
      </c>
    </row>
    <row r="263" spans="1:2" ht="17.25">
      <c r="A263" s="46">
        <v>1</v>
      </c>
      <c r="B263" s="113" t="s">
        <v>2160</v>
      </c>
    </row>
    <row r="264" spans="1:2">
      <c r="A264" s="46">
        <v>1</v>
      </c>
      <c r="B264" s="96" t="s">
        <v>2161</v>
      </c>
    </row>
    <row r="265" spans="1:2">
      <c r="A265" s="46">
        <v>1</v>
      </c>
      <c r="B265" s="96" t="s">
        <v>2162</v>
      </c>
    </row>
    <row r="266" spans="1:2">
      <c r="A266" s="46">
        <v>1</v>
      </c>
      <c r="B266" t="s">
        <v>2163</v>
      </c>
    </row>
    <row r="267" spans="1:2">
      <c r="A267" s="46">
        <v>1</v>
      </c>
      <c r="B267" t="s">
        <v>2164</v>
      </c>
    </row>
    <row r="268" spans="1:2">
      <c r="A268" s="46">
        <v>1</v>
      </c>
      <c r="B268" t="s">
        <v>2165</v>
      </c>
    </row>
    <row r="269" spans="1:2">
      <c r="A269" s="46">
        <v>1</v>
      </c>
      <c r="B269" t="s">
        <v>2166</v>
      </c>
    </row>
    <row r="270" spans="1:2">
      <c r="A270" s="46">
        <v>1</v>
      </c>
      <c r="B270" t="s">
        <v>2167</v>
      </c>
    </row>
    <row r="271" spans="1:2">
      <c r="A271" s="46">
        <v>1</v>
      </c>
      <c r="B271" t="s">
        <v>2168</v>
      </c>
    </row>
    <row r="272" spans="1:2" ht="30">
      <c r="A272" s="46">
        <v>1</v>
      </c>
      <c r="B272" s="145" t="s">
        <v>2169</v>
      </c>
    </row>
    <row r="273" spans="1:2">
      <c r="A273" s="46">
        <v>1</v>
      </c>
      <c r="B273" t="s">
        <v>2170</v>
      </c>
    </row>
    <row r="274" spans="1:2">
      <c r="A274" s="46">
        <v>1</v>
      </c>
      <c r="B274" t="s">
        <v>2171</v>
      </c>
    </row>
    <row r="275" spans="1:2">
      <c r="A275" s="46">
        <v>1</v>
      </c>
      <c r="B275" t="s">
        <v>2172</v>
      </c>
    </row>
    <row r="276" spans="1:2" ht="23.25">
      <c r="A276" s="46">
        <v>1</v>
      </c>
      <c r="B276" s="112" t="s">
        <v>2173</v>
      </c>
    </row>
    <row r="277" spans="1:2">
      <c r="A277" s="46">
        <v>1</v>
      </c>
      <c r="B277" t="s">
        <v>2174</v>
      </c>
    </row>
    <row r="278" spans="1:2">
      <c r="A278" s="46">
        <v>1</v>
      </c>
      <c r="B278" t="s">
        <v>1962</v>
      </c>
    </row>
    <row r="279" spans="1:2">
      <c r="A279" s="46">
        <v>1</v>
      </c>
      <c r="B279" t="s">
        <v>2175</v>
      </c>
    </row>
    <row r="280" spans="1:2">
      <c r="A280" s="46">
        <v>1</v>
      </c>
      <c r="B280" t="s">
        <v>371</v>
      </c>
    </row>
    <row r="281" spans="1:2">
      <c r="A281" s="46">
        <v>1</v>
      </c>
      <c r="B281" t="s">
        <v>2176</v>
      </c>
    </row>
    <row r="282" spans="1:2">
      <c r="A282" s="46">
        <v>1</v>
      </c>
      <c r="B282" t="s">
        <v>371</v>
      </c>
    </row>
    <row r="283" spans="1:2">
      <c r="A283" s="46">
        <v>1</v>
      </c>
      <c r="B283" t="s">
        <v>1427</v>
      </c>
    </row>
    <row r="284" spans="1:2">
      <c r="A284" s="46">
        <v>1</v>
      </c>
      <c r="B284" t="s">
        <v>371</v>
      </c>
    </row>
    <row r="285" spans="1:2">
      <c r="A285" s="46">
        <v>1</v>
      </c>
      <c r="B285" t="s">
        <v>2177</v>
      </c>
    </row>
    <row r="286" spans="1:2">
      <c r="A286" s="46">
        <v>1</v>
      </c>
      <c r="B286" t="s">
        <v>2106</v>
      </c>
    </row>
    <row r="287" spans="1:2">
      <c r="A287" s="46">
        <v>1</v>
      </c>
      <c r="B287" t="s">
        <v>2178</v>
      </c>
    </row>
    <row r="288" spans="1:2" ht="23.25">
      <c r="A288" s="46">
        <v>1</v>
      </c>
      <c r="B288" s="112" t="s">
        <v>2179</v>
      </c>
    </row>
    <row r="289" spans="1:2">
      <c r="A289" s="46">
        <v>1</v>
      </c>
      <c r="B289" t="s">
        <v>1466</v>
      </c>
    </row>
    <row r="290" spans="1:2">
      <c r="A290" s="46">
        <v>1</v>
      </c>
      <c r="B290" t="s">
        <v>2180</v>
      </c>
    </row>
    <row r="291" spans="1:2">
      <c r="A291" s="46">
        <v>1</v>
      </c>
      <c r="B291" t="s">
        <v>2181</v>
      </c>
    </row>
    <row r="292" spans="1:2">
      <c r="A292" s="46">
        <v>1</v>
      </c>
      <c r="B292" t="s">
        <v>2182</v>
      </c>
    </row>
    <row r="293" spans="1:2">
      <c r="A293" s="46">
        <v>1</v>
      </c>
      <c r="B293" t="s">
        <v>2183</v>
      </c>
    </row>
    <row r="294" spans="1:2">
      <c r="A294" s="46">
        <v>1</v>
      </c>
      <c r="B294" t="s">
        <v>2184</v>
      </c>
    </row>
    <row r="295" spans="1:2">
      <c r="A295" s="46">
        <v>1</v>
      </c>
      <c r="B295" t="s">
        <v>292</v>
      </c>
    </row>
    <row r="296" spans="1:2">
      <c r="A296" s="46">
        <v>1</v>
      </c>
      <c r="B296" t="s">
        <v>2185</v>
      </c>
    </row>
    <row r="297" spans="1:2">
      <c r="A297" s="46">
        <v>1</v>
      </c>
      <c r="B297" t="s">
        <v>2186</v>
      </c>
    </row>
    <row r="298" spans="1:2">
      <c r="A298" s="46">
        <v>1</v>
      </c>
      <c r="B298" t="s">
        <v>2187</v>
      </c>
    </row>
    <row r="299" spans="1:2">
      <c r="A299" s="46">
        <v>1</v>
      </c>
      <c r="B299" t="s">
        <v>2188</v>
      </c>
    </row>
    <row r="300" spans="1:2">
      <c r="A300" s="46">
        <v>1</v>
      </c>
      <c r="B300" t="s">
        <v>2189</v>
      </c>
    </row>
    <row r="301" spans="1:2">
      <c r="A301" s="46">
        <v>1</v>
      </c>
      <c r="B301" t="s">
        <v>2190</v>
      </c>
    </row>
    <row r="302" spans="1:2">
      <c r="A302" s="46">
        <v>1</v>
      </c>
      <c r="B302" t="s">
        <v>2191</v>
      </c>
    </row>
    <row r="303" spans="1:2">
      <c r="A303" s="46">
        <v>1</v>
      </c>
      <c r="B303" t="s">
        <v>2192</v>
      </c>
    </row>
    <row r="304" spans="1:2" ht="23.25">
      <c r="A304" s="46">
        <v>1</v>
      </c>
      <c r="B304" s="112" t="s">
        <v>2193</v>
      </c>
    </row>
    <row r="305" spans="1:2">
      <c r="A305" s="46">
        <v>1</v>
      </c>
      <c r="B305" t="s">
        <v>2194</v>
      </c>
    </row>
    <row r="306" spans="1:2">
      <c r="A306" s="46">
        <v>1</v>
      </c>
      <c r="B306" t="s">
        <v>292</v>
      </c>
    </row>
    <row r="307" spans="1:2">
      <c r="A307" s="46">
        <v>1</v>
      </c>
      <c r="B307" t="s">
        <v>2195</v>
      </c>
    </row>
    <row r="308" spans="1:2">
      <c r="A308" s="46">
        <v>1</v>
      </c>
      <c r="B308" t="s">
        <v>2196</v>
      </c>
    </row>
    <row r="309" spans="1:2">
      <c r="A309" s="46">
        <v>1</v>
      </c>
      <c r="B309" t="s">
        <v>2197</v>
      </c>
    </row>
    <row r="310" spans="1:2">
      <c r="A310" s="46">
        <v>1</v>
      </c>
      <c r="B310" t="s">
        <v>2198</v>
      </c>
    </row>
    <row r="311" spans="1:2">
      <c r="A311" s="46">
        <v>1</v>
      </c>
      <c r="B311" t="s">
        <v>2199</v>
      </c>
    </row>
    <row r="312" spans="1:2" ht="30">
      <c r="A312" s="46">
        <v>1</v>
      </c>
      <c r="B312" s="145" t="s">
        <v>2200</v>
      </c>
    </row>
    <row r="313" spans="1:2">
      <c r="A313" s="46">
        <v>1</v>
      </c>
      <c r="B313" t="s">
        <v>2201</v>
      </c>
    </row>
    <row r="314" spans="1:2">
      <c r="A314" s="46">
        <v>1</v>
      </c>
      <c r="B314" t="s">
        <v>2202</v>
      </c>
    </row>
    <row r="315" spans="1:2" ht="23.25">
      <c r="A315" s="46">
        <v>1</v>
      </c>
      <c r="B315" s="112" t="s">
        <v>2185</v>
      </c>
    </row>
    <row r="316" spans="1:2">
      <c r="A316" s="46">
        <v>1</v>
      </c>
      <c r="B316" t="s">
        <v>2203</v>
      </c>
    </row>
    <row r="317" spans="1:2">
      <c r="A317" s="46">
        <v>1</v>
      </c>
      <c r="B317" t="s">
        <v>292</v>
      </c>
    </row>
    <row r="318" spans="1:2">
      <c r="A318" s="46">
        <v>1</v>
      </c>
      <c r="B318" t="s">
        <v>2204</v>
      </c>
    </row>
    <row r="319" spans="1:2">
      <c r="A319" s="46">
        <v>1</v>
      </c>
      <c r="B319" t="s">
        <v>2205</v>
      </c>
    </row>
    <row r="320" spans="1:2">
      <c r="A320" s="46">
        <v>1</v>
      </c>
      <c r="B320" t="s">
        <v>2103</v>
      </c>
    </row>
    <row r="321" spans="1:2">
      <c r="A321" s="46">
        <v>1</v>
      </c>
      <c r="B321" t="s">
        <v>2206</v>
      </c>
    </row>
    <row r="322" spans="1:2">
      <c r="A322" s="46">
        <v>1</v>
      </c>
      <c r="B322" t="s">
        <v>371</v>
      </c>
    </row>
    <row r="323" spans="1:2">
      <c r="A323" s="46">
        <v>1</v>
      </c>
      <c r="B323" t="s">
        <v>2207</v>
      </c>
    </row>
    <row r="324" spans="1:2">
      <c r="A324" s="46">
        <v>1</v>
      </c>
      <c r="B324" t="s">
        <v>371</v>
      </c>
    </row>
    <row r="325" spans="1:2">
      <c r="A325" s="46">
        <v>1</v>
      </c>
      <c r="B325" t="s">
        <v>2208</v>
      </c>
    </row>
    <row r="326" spans="1:2">
      <c r="A326" s="46">
        <v>1</v>
      </c>
      <c r="B326" t="s">
        <v>371</v>
      </c>
    </row>
    <row r="327" spans="1:2">
      <c r="A327" s="46">
        <v>1</v>
      </c>
      <c r="B327" t="s">
        <v>2045</v>
      </c>
    </row>
    <row r="328" spans="1:2">
      <c r="A328" s="46">
        <v>1</v>
      </c>
      <c r="B328" t="s">
        <v>371</v>
      </c>
    </row>
    <row r="329" spans="1:2">
      <c r="A329" s="46">
        <v>1</v>
      </c>
      <c r="B329" t="s">
        <v>1315</v>
      </c>
    </row>
    <row r="330" spans="1:2" ht="23.25">
      <c r="A330" s="46">
        <v>1</v>
      </c>
      <c r="B330" s="112" t="s">
        <v>2187</v>
      </c>
    </row>
    <row r="331" spans="1:2">
      <c r="A331" s="46">
        <v>1</v>
      </c>
      <c r="B331" t="s">
        <v>2209</v>
      </c>
    </row>
    <row r="332" spans="1:2">
      <c r="A332" s="46">
        <v>1</v>
      </c>
      <c r="B332" t="s">
        <v>292</v>
      </c>
    </row>
    <row r="333" spans="1:2">
      <c r="A333" s="46">
        <v>1</v>
      </c>
      <c r="B333" t="s">
        <v>2210</v>
      </c>
    </row>
    <row r="334" spans="1:2">
      <c r="A334" s="46">
        <v>1</v>
      </c>
      <c r="B334" t="s">
        <v>2204</v>
      </c>
    </row>
    <row r="335" spans="1:2">
      <c r="A335" s="46">
        <v>1</v>
      </c>
      <c r="B335" t="s">
        <v>2211</v>
      </c>
    </row>
    <row r="336" spans="1:2">
      <c r="A336" s="46">
        <v>1</v>
      </c>
      <c r="B336" t="s">
        <v>371</v>
      </c>
    </row>
    <row r="337" spans="1:2">
      <c r="A337" s="46">
        <v>1</v>
      </c>
      <c r="B337" t="s">
        <v>2212</v>
      </c>
    </row>
    <row r="338" spans="1:2">
      <c r="A338" s="46">
        <v>1</v>
      </c>
      <c r="B338" t="s">
        <v>371</v>
      </c>
    </row>
    <row r="339" spans="1:2">
      <c r="A339" s="46">
        <v>1</v>
      </c>
      <c r="B339" t="s">
        <v>2213</v>
      </c>
    </row>
    <row r="340" spans="1:2" ht="23.25">
      <c r="A340" s="46">
        <v>1</v>
      </c>
      <c r="B340" s="112" t="s">
        <v>2189</v>
      </c>
    </row>
    <row r="341" spans="1:2">
      <c r="A341" s="46">
        <v>1</v>
      </c>
      <c r="B341" t="s">
        <v>2214</v>
      </c>
    </row>
    <row r="342" spans="1:2">
      <c r="A342" s="46">
        <v>1</v>
      </c>
      <c r="B342" t="s">
        <v>292</v>
      </c>
    </row>
    <row r="343" spans="1:2">
      <c r="A343" s="46">
        <v>1</v>
      </c>
      <c r="B343" t="s">
        <v>2215</v>
      </c>
    </row>
    <row r="344" spans="1:2">
      <c r="A344" s="46">
        <v>1</v>
      </c>
      <c r="B344" t="s">
        <v>371</v>
      </c>
    </row>
    <row r="345" spans="1:2">
      <c r="A345" s="46">
        <v>1</v>
      </c>
      <c r="B345" t="s">
        <v>2216</v>
      </c>
    </row>
    <row r="346" spans="1:2">
      <c r="A346" s="46">
        <v>1</v>
      </c>
      <c r="B346" t="s">
        <v>371</v>
      </c>
    </row>
    <row r="347" spans="1:2">
      <c r="A347" s="46">
        <v>1</v>
      </c>
      <c r="B347" t="s">
        <v>2217</v>
      </c>
    </row>
    <row r="348" spans="1:2">
      <c r="A348" s="46">
        <v>1</v>
      </c>
      <c r="B348" t="s">
        <v>371</v>
      </c>
    </row>
    <row r="349" spans="1:2">
      <c r="A349" s="46">
        <v>1</v>
      </c>
      <c r="B349" t="s">
        <v>2218</v>
      </c>
    </row>
    <row r="350" spans="1:2">
      <c r="A350" s="46">
        <v>1</v>
      </c>
      <c r="B350" t="s">
        <v>2219</v>
      </c>
    </row>
    <row r="351" spans="1:2" ht="30">
      <c r="A351" s="46">
        <v>1</v>
      </c>
      <c r="B351" s="145" t="s">
        <v>2220</v>
      </c>
    </row>
    <row r="352" spans="1:2">
      <c r="A352" s="46">
        <v>1</v>
      </c>
      <c r="B352" t="s">
        <v>2221</v>
      </c>
    </row>
    <row r="353" spans="1:2">
      <c r="A353" s="46">
        <v>1</v>
      </c>
      <c r="B353" t="s">
        <v>2222</v>
      </c>
    </row>
    <row r="354" spans="1:2">
      <c r="A354" s="46">
        <v>1</v>
      </c>
      <c r="B354" t="s">
        <v>2223</v>
      </c>
    </row>
    <row r="355" spans="1:2">
      <c r="A355" s="46">
        <v>1</v>
      </c>
      <c r="B355" t="s">
        <v>2224</v>
      </c>
    </row>
    <row r="356" spans="1:2">
      <c r="A356" s="46">
        <v>1</v>
      </c>
      <c r="B356" t="s">
        <v>2225</v>
      </c>
    </row>
    <row r="357" spans="1:2">
      <c r="A357" s="46">
        <v>1</v>
      </c>
      <c r="B357" t="s">
        <v>1435</v>
      </c>
    </row>
    <row r="358" spans="1:2">
      <c r="A358" s="46">
        <v>1</v>
      </c>
      <c r="B358" t="s">
        <v>371</v>
      </c>
    </row>
    <row r="359" spans="1:2">
      <c r="A359" s="46">
        <v>1</v>
      </c>
      <c r="B359" t="s">
        <v>2226</v>
      </c>
    </row>
    <row r="360" spans="1:2">
      <c r="A360" s="46">
        <v>1</v>
      </c>
      <c r="B360" t="s">
        <v>371</v>
      </c>
    </row>
    <row r="361" spans="1:2">
      <c r="A361" s="46">
        <v>1</v>
      </c>
      <c r="B361" t="s">
        <v>2227</v>
      </c>
    </row>
    <row r="362" spans="1:2">
      <c r="A362" s="46">
        <v>1</v>
      </c>
      <c r="B362" t="s">
        <v>371</v>
      </c>
    </row>
    <row r="363" spans="1:2">
      <c r="A363" s="46">
        <v>1</v>
      </c>
      <c r="B363" t="s">
        <v>2228</v>
      </c>
    </row>
    <row r="364" spans="1:2">
      <c r="A364" s="46">
        <v>1</v>
      </c>
      <c r="B364" t="s">
        <v>2229</v>
      </c>
    </row>
    <row r="365" spans="1:2">
      <c r="A365" s="46">
        <v>1</v>
      </c>
      <c r="B365" t="s">
        <v>292</v>
      </c>
    </row>
    <row r="366" spans="1:2">
      <c r="A366" s="46">
        <v>1</v>
      </c>
      <c r="B366" t="s">
        <v>2230</v>
      </c>
    </row>
    <row r="367" spans="1:2">
      <c r="A367" s="46">
        <v>1</v>
      </c>
      <c r="B367" t="s">
        <v>2231</v>
      </c>
    </row>
    <row r="368" spans="1:2">
      <c r="A368" s="46">
        <v>1</v>
      </c>
      <c r="B368" t="s">
        <v>2232</v>
      </c>
    </row>
    <row r="369" spans="1:2">
      <c r="A369" s="46">
        <v>1</v>
      </c>
      <c r="B369" t="s">
        <v>2233</v>
      </c>
    </row>
    <row r="370" spans="1:2">
      <c r="A370" s="46">
        <v>1</v>
      </c>
      <c r="B370" t="s">
        <v>371</v>
      </c>
    </row>
    <row r="371" spans="1:2">
      <c r="A371" s="46">
        <v>1</v>
      </c>
      <c r="B371" t="s">
        <v>2234</v>
      </c>
    </row>
    <row r="372" spans="1:2">
      <c r="A372" s="46">
        <v>1</v>
      </c>
      <c r="B372" t="s">
        <v>371</v>
      </c>
    </row>
    <row r="373" spans="1:2">
      <c r="A373" s="46">
        <v>1</v>
      </c>
      <c r="B373" t="s">
        <v>2235</v>
      </c>
    </row>
    <row r="374" spans="1:2" ht="30">
      <c r="A374" s="46">
        <v>1</v>
      </c>
      <c r="B374" s="145" t="s">
        <v>2236</v>
      </c>
    </row>
    <row r="375" spans="1:2">
      <c r="A375" s="46">
        <v>1</v>
      </c>
      <c r="B375" t="s">
        <v>2237</v>
      </c>
    </row>
    <row r="376" spans="1:2" ht="23.25">
      <c r="A376" s="46">
        <v>1</v>
      </c>
      <c r="B376" s="112" t="s">
        <v>2238</v>
      </c>
    </row>
    <row r="377" spans="1:2">
      <c r="A377" s="46">
        <v>1</v>
      </c>
      <c r="B377" t="s">
        <v>2239</v>
      </c>
    </row>
    <row r="378" spans="1:2">
      <c r="A378" s="46">
        <v>1</v>
      </c>
      <c r="B378" t="s">
        <v>2240</v>
      </c>
    </row>
    <row r="379" spans="1:2">
      <c r="A379" s="46">
        <v>1</v>
      </c>
      <c r="B379" t="s">
        <v>2241</v>
      </c>
    </row>
    <row r="380" spans="1:2" ht="23.25">
      <c r="A380" s="46">
        <v>1</v>
      </c>
      <c r="B380" s="112" t="s">
        <v>2242</v>
      </c>
    </row>
    <row r="381" spans="1:2">
      <c r="A381" s="46">
        <v>1</v>
      </c>
      <c r="B381" t="s">
        <v>2243</v>
      </c>
    </row>
    <row r="382" spans="1:2">
      <c r="A382" s="46">
        <v>1</v>
      </c>
      <c r="B382" t="s">
        <v>2244</v>
      </c>
    </row>
    <row r="383" spans="1:2">
      <c r="A383" s="46">
        <v>1</v>
      </c>
      <c r="B383" t="s">
        <v>2245</v>
      </c>
    </row>
    <row r="384" spans="1:2">
      <c r="A384" s="46">
        <v>1</v>
      </c>
      <c r="B384" t="s">
        <v>2246</v>
      </c>
    </row>
    <row r="385" spans="1:2">
      <c r="A385" s="46">
        <v>1</v>
      </c>
      <c r="B385" t="s">
        <v>2247</v>
      </c>
    </row>
    <row r="386" spans="1:2">
      <c r="A386" s="46">
        <v>1</v>
      </c>
      <c r="B386" t="s">
        <v>2248</v>
      </c>
    </row>
    <row r="387" spans="1:2">
      <c r="A387" s="46">
        <v>1</v>
      </c>
      <c r="B387" t="s">
        <v>2249</v>
      </c>
    </row>
    <row r="388" spans="1:2">
      <c r="A388" s="46">
        <v>1</v>
      </c>
      <c r="B388" t="s">
        <v>2250</v>
      </c>
    </row>
    <row r="389" spans="1:2">
      <c r="A389" s="46">
        <v>1</v>
      </c>
      <c r="B389" t="s">
        <v>2251</v>
      </c>
    </row>
    <row r="390" spans="1:2">
      <c r="A390" s="46">
        <v>1</v>
      </c>
      <c r="B390" t="s">
        <v>2252</v>
      </c>
    </row>
    <row r="391" spans="1:2">
      <c r="A391" s="46">
        <v>1</v>
      </c>
      <c r="B391" t="s">
        <v>2253</v>
      </c>
    </row>
    <row r="392" spans="1:2">
      <c r="A392" s="46">
        <v>1</v>
      </c>
      <c r="B392" t="s">
        <v>2254</v>
      </c>
    </row>
    <row r="393" spans="1:2" ht="30">
      <c r="A393" s="46">
        <v>1</v>
      </c>
      <c r="B393" s="145" t="s">
        <v>2255</v>
      </c>
    </row>
    <row r="394" spans="1:2">
      <c r="A394" s="46">
        <v>1</v>
      </c>
      <c r="B394" t="s">
        <v>2256</v>
      </c>
    </row>
    <row r="395" spans="1:2" ht="23.25">
      <c r="A395" s="46">
        <v>1</v>
      </c>
      <c r="B395" s="112" t="s">
        <v>2257</v>
      </c>
    </row>
    <row r="396" spans="1:2" ht="17.25">
      <c r="A396" s="46">
        <v>1</v>
      </c>
      <c r="B396" s="113" t="s">
        <v>2258</v>
      </c>
    </row>
    <row r="397" spans="1:2">
      <c r="A397" s="46">
        <v>1</v>
      </c>
      <c r="B397" t="s">
        <v>2259</v>
      </c>
    </row>
    <row r="398" spans="1:2" ht="17.25">
      <c r="A398" s="46">
        <v>1</v>
      </c>
      <c r="B398" s="113" t="s">
        <v>2260</v>
      </c>
    </row>
    <row r="399" spans="1:2">
      <c r="A399" s="46">
        <v>1</v>
      </c>
      <c r="B399" t="s">
        <v>2261</v>
      </c>
    </row>
    <row r="400" spans="1:2" ht="17.25">
      <c r="A400" s="46">
        <v>1</v>
      </c>
      <c r="B400" s="113" t="s">
        <v>2260</v>
      </c>
    </row>
    <row r="401" spans="1:2">
      <c r="A401" s="46">
        <v>1</v>
      </c>
      <c r="B401" t="s">
        <v>2262</v>
      </c>
    </row>
    <row r="402" spans="1:2" ht="17.25">
      <c r="A402" s="46">
        <v>1</v>
      </c>
      <c r="B402" s="113" t="s">
        <v>2263</v>
      </c>
    </row>
    <row r="403" spans="1:2">
      <c r="A403" s="46">
        <v>1</v>
      </c>
      <c r="B403" t="s">
        <v>2264</v>
      </c>
    </row>
    <row r="404" spans="1:2">
      <c r="A404" s="46">
        <v>1</v>
      </c>
      <c r="B404" t="s">
        <v>2265</v>
      </c>
    </row>
    <row r="405" spans="1:2">
      <c r="A405" s="46">
        <v>1</v>
      </c>
      <c r="B405" t="s">
        <v>2266</v>
      </c>
    </row>
    <row r="406" spans="1:2">
      <c r="A406" s="46">
        <v>1</v>
      </c>
      <c r="B406" t="s">
        <v>2267</v>
      </c>
    </row>
    <row r="407" spans="1:2">
      <c r="A407" s="46">
        <v>1</v>
      </c>
      <c r="B407" t="s">
        <v>2268</v>
      </c>
    </row>
    <row r="408" spans="1:2" ht="30">
      <c r="A408" s="46">
        <v>1</v>
      </c>
      <c r="B408" s="145" t="s">
        <v>2269</v>
      </c>
    </row>
    <row r="409" spans="1:2">
      <c r="A409" s="46">
        <v>1</v>
      </c>
      <c r="B409" t="s">
        <v>2270</v>
      </c>
    </row>
    <row r="410" spans="1:2">
      <c r="A410" s="46">
        <v>1</v>
      </c>
      <c r="B410" t="s">
        <v>2271</v>
      </c>
    </row>
    <row r="411" spans="1:2" ht="23.25">
      <c r="A411" s="46">
        <v>1</v>
      </c>
      <c r="B411" s="112" t="s">
        <v>2272</v>
      </c>
    </row>
    <row r="412" spans="1:2">
      <c r="A412" s="46">
        <v>1</v>
      </c>
      <c r="B412" s="96" t="s">
        <v>1914</v>
      </c>
    </row>
    <row r="413" spans="1:2">
      <c r="A413" s="46">
        <v>1</v>
      </c>
      <c r="B413" s="96" t="s">
        <v>2273</v>
      </c>
    </row>
    <row r="414" spans="1:2">
      <c r="A414" s="46">
        <v>1</v>
      </c>
      <c r="B414" s="96" t="s">
        <v>1888</v>
      </c>
    </row>
    <row r="415" spans="1:2" ht="23.25">
      <c r="A415" s="46">
        <v>1</v>
      </c>
      <c r="B415" s="112" t="s">
        <v>2274</v>
      </c>
    </row>
    <row r="416" spans="1:2">
      <c r="A416" s="46">
        <v>1</v>
      </c>
      <c r="B416" t="s">
        <v>2275</v>
      </c>
    </row>
    <row r="417" spans="1:2">
      <c r="A417" s="46">
        <v>1</v>
      </c>
      <c r="B417" s="96" t="s">
        <v>1466</v>
      </c>
    </row>
    <row r="418" spans="1:2">
      <c r="A418" s="46">
        <v>1</v>
      </c>
      <c r="B418" s="96" t="s">
        <v>1957</v>
      </c>
    </row>
    <row r="419" spans="1:2">
      <c r="A419" s="46">
        <v>1</v>
      </c>
      <c r="B419" s="96" t="s">
        <v>2276</v>
      </c>
    </row>
    <row r="420" spans="1:2" ht="23.25">
      <c r="A420" s="46">
        <v>1</v>
      </c>
      <c r="B420" s="112" t="s">
        <v>2277</v>
      </c>
    </row>
    <row r="421" spans="1:2">
      <c r="A421" s="46">
        <v>1</v>
      </c>
      <c r="B421" t="s">
        <v>2278</v>
      </c>
    </row>
    <row r="422" spans="1:2">
      <c r="A422" s="46">
        <v>1</v>
      </c>
      <c r="B422" s="96" t="s">
        <v>2279</v>
      </c>
    </row>
    <row r="423" spans="1:2">
      <c r="A423" s="46">
        <v>1</v>
      </c>
      <c r="B423" s="96" t="s">
        <v>2280</v>
      </c>
    </row>
    <row r="424" spans="1:2">
      <c r="A424" s="46">
        <v>1</v>
      </c>
      <c r="B424" s="96" t="s">
        <v>2281</v>
      </c>
    </row>
    <row r="425" spans="1:2">
      <c r="A425" s="46">
        <v>1</v>
      </c>
      <c r="B425" t="s">
        <v>374</v>
      </c>
    </row>
    <row r="426" spans="1:2">
      <c r="A426" s="46">
        <v>1</v>
      </c>
      <c r="B426" t="s">
        <v>2282</v>
      </c>
    </row>
    <row r="427" spans="1:2">
      <c r="A427" s="46">
        <v>1</v>
      </c>
      <c r="B427" t="s">
        <v>2283</v>
      </c>
    </row>
    <row r="428" spans="1:2" ht="30">
      <c r="A428" s="46">
        <v>1</v>
      </c>
      <c r="B428" s="145" t="s">
        <v>2284</v>
      </c>
    </row>
    <row r="429" spans="1:2">
      <c r="A429" s="46">
        <v>1</v>
      </c>
      <c r="B429" t="s">
        <v>2285</v>
      </c>
    </row>
    <row r="430" spans="1:2">
      <c r="A430" s="46">
        <v>1</v>
      </c>
      <c r="B430" t="s">
        <v>2286</v>
      </c>
    </row>
    <row r="431" spans="1:2">
      <c r="A431" s="46">
        <v>1</v>
      </c>
      <c r="B431" t="s">
        <v>2287</v>
      </c>
    </row>
    <row r="432" spans="1:2">
      <c r="A432" s="46">
        <v>1</v>
      </c>
      <c r="B432" t="s">
        <v>2288</v>
      </c>
    </row>
    <row r="433" spans="1:2">
      <c r="A433" s="46">
        <v>1</v>
      </c>
      <c r="B433" t="s">
        <v>1446</v>
      </c>
    </row>
    <row r="434" spans="1:2">
      <c r="A434" s="46">
        <v>1</v>
      </c>
      <c r="B434" t="s">
        <v>2289</v>
      </c>
    </row>
    <row r="435" spans="1:2">
      <c r="A435" s="46">
        <v>1</v>
      </c>
      <c r="B435" t="s">
        <v>2290</v>
      </c>
    </row>
    <row r="436" spans="1:2">
      <c r="A436" s="46">
        <v>1</v>
      </c>
      <c r="B436" t="s">
        <v>1414</v>
      </c>
    </row>
    <row r="437" spans="1:2">
      <c r="A437" s="46">
        <v>1</v>
      </c>
      <c r="B437" t="s">
        <v>2291</v>
      </c>
    </row>
    <row r="438" spans="1:2">
      <c r="A438" s="46">
        <v>1</v>
      </c>
      <c r="B438" t="s">
        <v>2292</v>
      </c>
    </row>
    <row r="439" spans="1:2">
      <c r="A439" s="46">
        <v>1</v>
      </c>
      <c r="B439" t="s">
        <v>2293</v>
      </c>
    </row>
    <row r="440" spans="1:2">
      <c r="A440" s="46">
        <v>1</v>
      </c>
      <c r="B440" t="s">
        <v>2294</v>
      </c>
    </row>
    <row r="441" spans="1:2">
      <c r="A441" s="46">
        <v>1</v>
      </c>
      <c r="B441" t="s">
        <v>1414</v>
      </c>
    </row>
    <row r="442" spans="1:2">
      <c r="A442" s="46">
        <v>1</v>
      </c>
      <c r="B442" t="s">
        <v>2295</v>
      </c>
    </row>
    <row r="443" spans="1:2">
      <c r="A443" s="46">
        <v>1</v>
      </c>
      <c r="B443" t="s">
        <v>2296</v>
      </c>
    </row>
    <row r="444" spans="1:2">
      <c r="A444" s="46">
        <v>1</v>
      </c>
      <c r="B444" t="s">
        <v>2297</v>
      </c>
    </row>
    <row r="445" spans="1:2">
      <c r="A445" s="46">
        <v>1</v>
      </c>
      <c r="B445" t="s">
        <v>2298</v>
      </c>
    </row>
    <row r="446" spans="1:2">
      <c r="A446" s="46">
        <v>1</v>
      </c>
      <c r="B446" t="s">
        <v>1414</v>
      </c>
    </row>
    <row r="447" spans="1:2">
      <c r="A447" s="46">
        <v>1</v>
      </c>
      <c r="B447" t="s">
        <v>2295</v>
      </c>
    </row>
    <row r="448" spans="1:2">
      <c r="A448" s="46">
        <v>1</v>
      </c>
      <c r="B448" t="s">
        <v>2299</v>
      </c>
    </row>
    <row r="449" spans="1:2">
      <c r="A449" s="46">
        <v>1</v>
      </c>
      <c r="B449" t="s">
        <v>2300</v>
      </c>
    </row>
    <row r="450" spans="1:2">
      <c r="A450" s="46">
        <v>1</v>
      </c>
      <c r="B450" s="152" t="s">
        <v>2301</v>
      </c>
    </row>
    <row r="451" spans="1:2">
      <c r="A451" s="46">
        <v>1</v>
      </c>
      <c r="B451" s="152" t="s">
        <v>2302</v>
      </c>
    </row>
    <row r="452" spans="1:2">
      <c r="A452" s="46">
        <v>1</v>
      </c>
      <c r="B452" s="152" t="s">
        <v>2303</v>
      </c>
    </row>
    <row r="453" spans="1:2">
      <c r="A453" s="46">
        <v>1</v>
      </c>
      <c r="B453" t="s">
        <v>2304</v>
      </c>
    </row>
  </sheetData>
  <autoFilter ref="A109:C130" xr:uid="{2D2BA48C-A091-4759-BEC7-39CC8C8F1638}"/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73FC9-2F62-43D8-9BD7-DEEA73D338F7}">
  <sheetPr>
    <tabColor rgb="FFFF0000"/>
  </sheetPr>
  <dimension ref="A1"/>
  <sheetViews>
    <sheetView workbookViewId="0">
      <selection activeCell="L32" sqref="L32"/>
    </sheetView>
  </sheetViews>
  <sheetFormatPr defaultRowHeight="14.25"/>
  <sheetData/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60CFB-42A6-46E7-832F-E20F2B762B1A}">
  <sheetPr>
    <tabColor rgb="FF92D050"/>
  </sheetPr>
  <dimension ref="B2:T97"/>
  <sheetViews>
    <sheetView workbookViewId="0">
      <selection activeCell="G23" sqref="G23"/>
    </sheetView>
  </sheetViews>
  <sheetFormatPr defaultRowHeight="14.25"/>
  <cols>
    <col min="1" max="1" width="9" style="53"/>
    <col min="2" max="5" width="16.375" style="53" customWidth="1"/>
    <col min="6" max="11" width="9" style="53"/>
    <col min="12" max="12" width="19.875" style="53" customWidth="1"/>
    <col min="13" max="16384" width="9" style="53"/>
  </cols>
  <sheetData>
    <row r="2" spans="2:12">
      <c r="B2" s="52" t="s">
        <v>211</v>
      </c>
      <c r="C2" s="52" t="s">
        <v>212</v>
      </c>
      <c r="D2" s="52" t="s">
        <v>214</v>
      </c>
      <c r="E2" s="52" t="s">
        <v>213</v>
      </c>
    </row>
    <row r="3" spans="2:12" ht="28.5">
      <c r="B3" s="52" t="s">
        <v>239</v>
      </c>
      <c r="C3" s="52" t="s">
        <v>216</v>
      </c>
      <c r="D3" s="52" t="s">
        <v>220</v>
      </c>
      <c r="E3" s="52" t="s">
        <v>224</v>
      </c>
      <c r="H3" s="53" t="s">
        <v>1709</v>
      </c>
      <c r="K3" s="53" t="s">
        <v>2536</v>
      </c>
    </row>
    <row r="4" spans="2:12">
      <c r="B4" s="52" t="s">
        <v>215</v>
      </c>
      <c r="C4" s="52" t="s">
        <v>217</v>
      </c>
      <c r="D4" s="52" t="s">
        <v>221</v>
      </c>
      <c r="E4" s="52" t="s">
        <v>225</v>
      </c>
      <c r="H4" s="53" t="s">
        <v>1710</v>
      </c>
      <c r="K4" s="53" t="s">
        <v>2537</v>
      </c>
      <c r="L4" s="53" t="s">
        <v>2538</v>
      </c>
    </row>
    <row r="5" spans="2:12">
      <c r="B5" s="52"/>
      <c r="C5" s="52" t="s">
        <v>218</v>
      </c>
      <c r="D5" s="52" t="s">
        <v>222</v>
      </c>
      <c r="E5" s="52"/>
      <c r="H5" s="53" t="s">
        <v>1211</v>
      </c>
      <c r="L5" s="53" t="s">
        <v>2539</v>
      </c>
    </row>
    <row r="6" spans="2:12">
      <c r="B6" s="52"/>
      <c r="C6" s="52" t="s">
        <v>219</v>
      </c>
      <c r="D6" s="52" t="s">
        <v>223</v>
      </c>
      <c r="E6" s="52"/>
      <c r="H6" s="53" t="s">
        <v>1592</v>
      </c>
      <c r="L6" s="53" t="s">
        <v>2540</v>
      </c>
    </row>
    <row r="7" spans="2:12">
      <c r="B7" s="52"/>
      <c r="C7" s="52"/>
      <c r="D7" s="52" t="s">
        <v>226</v>
      </c>
      <c r="E7" s="52"/>
      <c r="H7" s="53" t="s">
        <v>1711</v>
      </c>
      <c r="L7" s="53" t="s">
        <v>2541</v>
      </c>
    </row>
    <row r="8" spans="2:12">
      <c r="B8" s="52"/>
      <c r="C8" s="52"/>
      <c r="D8" s="52" t="s">
        <v>240</v>
      </c>
      <c r="E8" s="52"/>
      <c r="H8" s="53" t="s">
        <v>1712</v>
      </c>
      <c r="L8" s="53" t="s">
        <v>2542</v>
      </c>
    </row>
    <row r="9" spans="2:12">
      <c r="H9" s="53" t="s">
        <v>1713</v>
      </c>
    </row>
    <row r="10" spans="2:12">
      <c r="B10" s="227" t="s">
        <v>227</v>
      </c>
      <c r="C10" s="227"/>
    </row>
    <row r="11" spans="2:12">
      <c r="B11" s="52" t="s">
        <v>228</v>
      </c>
      <c r="C11" s="52" t="s">
        <v>233</v>
      </c>
    </row>
    <row r="12" spans="2:12">
      <c r="B12" s="52" t="s">
        <v>229</v>
      </c>
      <c r="C12" s="52" t="s">
        <v>234</v>
      </c>
    </row>
    <row r="13" spans="2:12">
      <c r="B13" s="52" t="s">
        <v>230</v>
      </c>
      <c r="C13" s="52" t="s">
        <v>235</v>
      </c>
    </row>
    <row r="14" spans="2:12">
      <c r="B14" s="52" t="s">
        <v>231</v>
      </c>
      <c r="C14" s="52" t="s">
        <v>236</v>
      </c>
    </row>
    <row r="15" spans="2:12">
      <c r="B15" s="52" t="s">
        <v>232</v>
      </c>
      <c r="C15" s="52" t="s">
        <v>237</v>
      </c>
    </row>
    <row r="16" spans="2:12">
      <c r="C16" s="52" t="s">
        <v>238</v>
      </c>
    </row>
    <row r="20" spans="2:6">
      <c r="B20" t="s">
        <v>1543</v>
      </c>
      <c r="C20" t="s">
        <v>1547</v>
      </c>
      <c r="D20" t="s">
        <v>1544</v>
      </c>
      <c r="E20" t="s">
        <v>1554</v>
      </c>
      <c r="F20"/>
    </row>
    <row r="21" spans="2:6">
      <c r="B21"/>
      <c r="C21"/>
      <c r="D21" t="s">
        <v>1545</v>
      </c>
      <c r="E21" t="s">
        <v>1554</v>
      </c>
      <c r="F21"/>
    </row>
    <row r="22" spans="2:6">
      <c r="B22"/>
      <c r="C22"/>
      <c r="D22" t="s">
        <v>1546</v>
      </c>
      <c r="E22" t="s">
        <v>1554</v>
      </c>
      <c r="F22"/>
    </row>
    <row r="23" spans="2:6">
      <c r="B23"/>
      <c r="C23" t="s">
        <v>1549</v>
      </c>
      <c r="D23" t="s">
        <v>1548</v>
      </c>
      <c r="E23"/>
      <c r="F23"/>
    </row>
    <row r="24" spans="2:6">
      <c r="B24"/>
      <c r="C24" t="s">
        <v>1551</v>
      </c>
      <c r="D24" t="s">
        <v>1550</v>
      </c>
      <c r="E24"/>
      <c r="F24"/>
    </row>
    <row r="25" spans="2:6">
      <c r="B25"/>
      <c r="C25" t="s">
        <v>1553</v>
      </c>
      <c r="D25" t="s">
        <v>1552</v>
      </c>
      <c r="E25" t="s">
        <v>1555</v>
      </c>
      <c r="F25"/>
    </row>
    <row r="26" spans="2:6">
      <c r="B26"/>
      <c r="C26"/>
      <c r="D26" t="s">
        <v>1556</v>
      </c>
      <c r="E26" t="s">
        <v>1558</v>
      </c>
      <c r="F26"/>
    </row>
    <row r="27" spans="2:6">
      <c r="B27"/>
      <c r="C27"/>
      <c r="D27" t="s">
        <v>1557</v>
      </c>
      <c r="E27" t="s">
        <v>1558</v>
      </c>
      <c r="F27"/>
    </row>
    <row r="28" spans="2:6">
      <c r="B28"/>
      <c r="C28"/>
      <c r="D28"/>
      <c r="E28"/>
      <c r="F28"/>
    </row>
    <row r="29" spans="2:6">
      <c r="B29" t="s">
        <v>1559</v>
      </c>
      <c r="C29"/>
      <c r="D29" t="s">
        <v>1560</v>
      </c>
      <c r="E29"/>
      <c r="F29"/>
    </row>
    <row r="30" spans="2:6">
      <c r="B30"/>
      <c r="C30"/>
      <c r="D30" t="s">
        <v>1561</v>
      </c>
      <c r="E30"/>
      <c r="F30"/>
    </row>
    <row r="31" spans="2:6">
      <c r="B31"/>
      <c r="C31"/>
      <c r="D31" t="s">
        <v>1562</v>
      </c>
      <c r="E31"/>
      <c r="F31"/>
    </row>
    <row r="32" spans="2:6">
      <c r="B32"/>
      <c r="C32" t="s">
        <v>1565</v>
      </c>
      <c r="D32" t="s">
        <v>1563</v>
      </c>
      <c r="E32" t="s">
        <v>1564</v>
      </c>
      <c r="F32"/>
    </row>
    <row r="33" spans="2:6">
      <c r="B33"/>
      <c r="C33"/>
      <c r="D33" t="s">
        <v>1566</v>
      </c>
      <c r="E33" t="s">
        <v>1567</v>
      </c>
      <c r="F33"/>
    </row>
    <row r="34" spans="2:6">
      <c r="B34"/>
      <c r="C34"/>
      <c r="D34"/>
      <c r="E34"/>
      <c r="F34"/>
    </row>
    <row r="35" spans="2:6">
      <c r="B35" t="s">
        <v>1568</v>
      </c>
      <c r="C35"/>
      <c r="D35" t="s">
        <v>1569</v>
      </c>
      <c r="E35" t="s">
        <v>1570</v>
      </c>
      <c r="F35"/>
    </row>
    <row r="36" spans="2:6">
      <c r="B36"/>
      <c r="C36"/>
      <c r="D36" t="s">
        <v>1571</v>
      </c>
      <c r="E36"/>
      <c r="F36"/>
    </row>
    <row r="37" spans="2:6">
      <c r="B37"/>
      <c r="C37"/>
      <c r="D37" t="s">
        <v>1572</v>
      </c>
      <c r="E37"/>
      <c r="F37"/>
    </row>
    <row r="38" spans="2:6">
      <c r="B38"/>
      <c r="C38"/>
      <c r="D38" t="s">
        <v>1573</v>
      </c>
      <c r="E38"/>
      <c r="F38"/>
    </row>
    <row r="39" spans="2:6">
      <c r="B39"/>
      <c r="C39"/>
      <c r="D39"/>
      <c r="E39"/>
      <c r="F39"/>
    </row>
    <row r="40" spans="2:6">
      <c r="B40" t="s">
        <v>1574</v>
      </c>
      <c r="C40"/>
      <c r="D40" t="s">
        <v>1552</v>
      </c>
      <c r="E40"/>
      <c r="F40"/>
    </row>
    <row r="41" spans="2:6">
      <c r="B41"/>
      <c r="C41"/>
      <c r="D41" t="s">
        <v>1575</v>
      </c>
      <c r="E41" t="s">
        <v>1576</v>
      </c>
      <c r="F41"/>
    </row>
    <row r="42" spans="2:6">
      <c r="B42"/>
      <c r="C42"/>
      <c r="D42" t="s">
        <v>1577</v>
      </c>
      <c r="E42"/>
      <c r="F42"/>
    </row>
    <row r="43" spans="2:6">
      <c r="B43"/>
      <c r="C43"/>
      <c r="D43" t="s">
        <v>1578</v>
      </c>
      <c r="E43"/>
      <c r="F43"/>
    </row>
    <row r="44" spans="2:6">
      <c r="B44"/>
      <c r="C44"/>
      <c r="D44"/>
      <c r="E44"/>
      <c r="F44"/>
    </row>
    <row r="45" spans="2:6">
      <c r="B45" t="s">
        <v>1579</v>
      </c>
      <c r="C45"/>
      <c r="D45" t="s">
        <v>1580</v>
      </c>
      <c r="E45"/>
      <c r="F45"/>
    </row>
    <row r="46" spans="2:6">
      <c r="B46"/>
      <c r="C46"/>
      <c r="D46" t="s">
        <v>1581</v>
      </c>
      <c r="E46"/>
      <c r="F46"/>
    </row>
    <row r="47" spans="2:6">
      <c r="B47"/>
      <c r="C47"/>
      <c r="D47" t="s">
        <v>1582</v>
      </c>
      <c r="E47"/>
      <c r="F47"/>
    </row>
    <row r="48" spans="2:6">
      <c r="B48"/>
      <c r="C48"/>
      <c r="D48" t="s">
        <v>1583</v>
      </c>
      <c r="E48"/>
      <c r="F48"/>
    </row>
    <row r="49" spans="2:20">
      <c r="B49"/>
      <c r="C49"/>
      <c r="D49"/>
      <c r="E49"/>
      <c r="F49"/>
    </row>
    <row r="50" spans="2:20">
      <c r="B50" t="s">
        <v>1584</v>
      </c>
      <c r="C50"/>
      <c r="D50" t="s">
        <v>1585</v>
      </c>
      <c r="E50"/>
      <c r="F50"/>
    </row>
    <row r="51" spans="2:20">
      <c r="B51"/>
      <c r="C51"/>
      <c r="D51" t="s">
        <v>1586</v>
      </c>
      <c r="E51"/>
      <c r="F51"/>
    </row>
    <row r="52" spans="2:20">
      <c r="B52"/>
      <c r="C52"/>
      <c r="D52" t="s">
        <v>1548</v>
      </c>
      <c r="E52"/>
      <c r="F52"/>
    </row>
    <row r="53" spans="2:20">
      <c r="B53"/>
      <c r="C53"/>
      <c r="D53"/>
      <c r="E53"/>
      <c r="F53"/>
    </row>
    <row r="54" spans="2:20">
      <c r="B54" t="s">
        <v>1587</v>
      </c>
      <c r="C54"/>
      <c r="D54" t="s">
        <v>1588</v>
      </c>
      <c r="E54"/>
      <c r="F54"/>
    </row>
    <row r="55" spans="2:20">
      <c r="B55"/>
      <c r="C55"/>
      <c r="D55" t="s">
        <v>1589</v>
      </c>
      <c r="E55"/>
      <c r="F55"/>
    </row>
    <row r="56" spans="2:20">
      <c r="B56"/>
      <c r="C56"/>
      <c r="D56" t="s">
        <v>1590</v>
      </c>
      <c r="E56"/>
      <c r="F56"/>
    </row>
    <row r="60" spans="2:20" ht="17.25">
      <c r="B60" s="113" t="s">
        <v>2318</v>
      </c>
      <c r="C60"/>
      <c r="D60"/>
      <c r="E60"/>
    </row>
    <row r="61" spans="2:20">
      <c r="B61" s="61" t="s">
        <v>2319</v>
      </c>
      <c r="C61" s="61" t="s">
        <v>2320</v>
      </c>
      <c r="D61" s="61" t="s">
        <v>2321</v>
      </c>
      <c r="E61" s="61" t="s">
        <v>2322</v>
      </c>
      <c r="G61" s="53" t="s">
        <v>2306</v>
      </c>
      <c r="H61" s="53" t="s">
        <v>2385</v>
      </c>
      <c r="I61" s="53" t="s">
        <v>2384</v>
      </c>
      <c r="J61" s="53" t="s">
        <v>2387</v>
      </c>
      <c r="K61" s="53" t="s">
        <v>2388</v>
      </c>
      <c r="L61" s="53" t="s">
        <v>2309</v>
      </c>
      <c r="M61" s="53" t="s">
        <v>2389</v>
      </c>
      <c r="O61" s="53" t="s">
        <v>2390</v>
      </c>
      <c r="P61" s="53" t="s">
        <v>2391</v>
      </c>
      <c r="Q61" s="53" t="s">
        <v>2392</v>
      </c>
      <c r="R61" s="53" t="s">
        <v>2393</v>
      </c>
      <c r="S61" s="53" t="s">
        <v>1229</v>
      </c>
      <c r="T61" s="53" t="s">
        <v>2394</v>
      </c>
    </row>
    <row r="62" spans="2:20" ht="28.5">
      <c r="B62" s="46" t="s">
        <v>2323</v>
      </c>
      <c r="C62" s="46" t="s">
        <v>2328</v>
      </c>
      <c r="D62" s="46" t="s">
        <v>2329</v>
      </c>
      <c r="E62" s="46" t="s">
        <v>2330</v>
      </c>
      <c r="G62" s="53" t="s">
        <v>1223</v>
      </c>
      <c r="H62" s="53" t="s">
        <v>2386</v>
      </c>
      <c r="I62" s="53" t="s">
        <v>1216</v>
      </c>
    </row>
    <row r="63" spans="2:20">
      <c r="B63" s="46" t="s">
        <v>2327</v>
      </c>
      <c r="C63" s="46" t="s">
        <v>2332</v>
      </c>
      <c r="D63" s="46" t="s">
        <v>2333</v>
      </c>
      <c r="E63" s="46" t="s">
        <v>2334</v>
      </c>
    </row>
    <row r="64" spans="2:20">
      <c r="B64" s="46" t="s">
        <v>2331</v>
      </c>
      <c r="C64" s="46" t="s">
        <v>2336</v>
      </c>
      <c r="D64" s="46" t="s">
        <v>2325</v>
      </c>
      <c r="E64" s="46" t="s">
        <v>2337</v>
      </c>
    </row>
    <row r="65" spans="2:5">
      <c r="B65" s="46" t="s">
        <v>2335</v>
      </c>
      <c r="C65" s="46" t="s">
        <v>2339</v>
      </c>
      <c r="D65" s="46" t="s">
        <v>2333</v>
      </c>
      <c r="E65" s="46" t="s">
        <v>2334</v>
      </c>
    </row>
    <row r="66" spans="2:5">
      <c r="B66" s="46" t="s">
        <v>2338</v>
      </c>
      <c r="C66" s="46" t="s">
        <v>2341</v>
      </c>
      <c r="D66" s="46" t="s">
        <v>2325</v>
      </c>
      <c r="E66" s="46" t="s">
        <v>2342</v>
      </c>
    </row>
    <row r="67" spans="2:5">
      <c r="B67" s="46" t="s">
        <v>2340</v>
      </c>
      <c r="C67" s="46" t="s">
        <v>2339</v>
      </c>
      <c r="D67" s="46" t="s">
        <v>2333</v>
      </c>
      <c r="E67" s="46" t="s">
        <v>2334</v>
      </c>
    </row>
    <row r="68" spans="2:5">
      <c r="B68" s="46" t="s">
        <v>2343</v>
      </c>
      <c r="C68" s="46" t="s">
        <v>2324</v>
      </c>
      <c r="D68" s="46" t="s">
        <v>2325</v>
      </c>
      <c r="E68" s="46" t="s">
        <v>2326</v>
      </c>
    </row>
    <row r="71" spans="2:5">
      <c r="B71" s="84" t="s">
        <v>2324</v>
      </c>
      <c r="C71" s="1"/>
      <c r="D71" s="1"/>
      <c r="E71" s="1"/>
    </row>
    <row r="72" spans="2:5">
      <c r="B72" s="84" t="s">
        <v>2344</v>
      </c>
      <c r="C72" s="154" t="s">
        <v>2345</v>
      </c>
      <c r="D72" s="1"/>
      <c r="E72" s="1"/>
    </row>
    <row r="73" spans="2:5">
      <c r="B73" s="84" t="s">
        <v>2346</v>
      </c>
      <c r="C73" s="154" t="s">
        <v>2347</v>
      </c>
      <c r="D73" s="1"/>
      <c r="E73" s="1"/>
    </row>
    <row r="74" spans="2:5">
      <c r="B74" s="84" t="s">
        <v>2348</v>
      </c>
      <c r="C74" s="154" t="s">
        <v>2349</v>
      </c>
      <c r="D74" s="1"/>
      <c r="E74" s="1"/>
    </row>
    <row r="75" spans="2:5">
      <c r="B75" s="84" t="s">
        <v>2350</v>
      </c>
      <c r="C75" s="154" t="s">
        <v>2351</v>
      </c>
      <c r="D75" s="1"/>
      <c r="E75" s="1"/>
    </row>
    <row r="76" spans="2:5">
      <c r="B76" s="84" t="s">
        <v>2352</v>
      </c>
      <c r="C76" s="154" t="s">
        <v>2353</v>
      </c>
      <c r="D76" s="1"/>
      <c r="E76" s="1"/>
    </row>
    <row r="77" spans="2:5">
      <c r="B77" s="84" t="s">
        <v>2354</v>
      </c>
      <c r="C77" s="154" t="s">
        <v>2355</v>
      </c>
      <c r="D77" s="1"/>
      <c r="E77" s="1"/>
    </row>
    <row r="78" spans="2:5">
      <c r="B78" s="154" t="s">
        <v>2356</v>
      </c>
      <c r="C78" s="84" t="s">
        <v>2357</v>
      </c>
      <c r="D78" s="1"/>
      <c r="E78" s="1"/>
    </row>
    <row r="79" spans="2:5">
      <c r="B79" s="1"/>
      <c r="C79" s="1"/>
      <c r="D79" s="1"/>
      <c r="E79" s="1"/>
    </row>
    <row r="80" spans="2:5">
      <c r="B80" s="84" t="s">
        <v>2381</v>
      </c>
      <c r="C80" s="1"/>
      <c r="D80" s="1"/>
      <c r="E80" s="1"/>
    </row>
    <row r="81" spans="2:5">
      <c r="B81" s="84" t="s">
        <v>2358</v>
      </c>
      <c r="C81" s="154" t="s">
        <v>2359</v>
      </c>
      <c r="D81" s="154" t="s">
        <v>2360</v>
      </c>
      <c r="E81" s="1"/>
    </row>
    <row r="82" spans="2:5">
      <c r="B82" s="84" t="s">
        <v>2361</v>
      </c>
      <c r="C82" s="154" t="s">
        <v>2347</v>
      </c>
      <c r="D82" s="1"/>
      <c r="E82" s="1"/>
    </row>
    <row r="83" spans="2:5">
      <c r="B83" s="84" t="s">
        <v>2362</v>
      </c>
      <c r="C83" s="154" t="s">
        <v>2347</v>
      </c>
      <c r="D83" s="1"/>
      <c r="E83" s="1"/>
    </row>
    <row r="84" spans="2:5">
      <c r="B84" s="84" t="s">
        <v>2363</v>
      </c>
      <c r="C84" s="154" t="s">
        <v>2345</v>
      </c>
      <c r="D84" s="1"/>
      <c r="E84" s="1"/>
    </row>
    <row r="85" spans="2:5">
      <c r="B85" s="84" t="s">
        <v>2364</v>
      </c>
      <c r="C85" s="154" t="s">
        <v>2351</v>
      </c>
      <c r="D85" s="1"/>
      <c r="E85" s="1"/>
    </row>
    <row r="86" spans="2:5">
      <c r="B86" s="84" t="s">
        <v>2365</v>
      </c>
      <c r="C86" s="154" t="s">
        <v>2366</v>
      </c>
      <c r="D86" s="1"/>
      <c r="E86" s="1"/>
    </row>
    <row r="87" spans="2:5">
      <c r="B87" s="154" t="s">
        <v>2367</v>
      </c>
      <c r="C87" s="1"/>
      <c r="D87" s="1"/>
      <c r="E87" s="1"/>
    </row>
    <row r="88" spans="2:5">
      <c r="B88" s="154" t="s">
        <v>2382</v>
      </c>
      <c r="C88" s="84" t="s">
        <v>2383</v>
      </c>
      <c r="D88" s="1"/>
      <c r="E88" s="1"/>
    </row>
    <row r="89" spans="2:5">
      <c r="B89" s="84" t="s">
        <v>2368</v>
      </c>
      <c r="C89" s="84" t="s">
        <v>2373</v>
      </c>
      <c r="D89" s="84" t="s">
        <v>2377</v>
      </c>
      <c r="E89" s="1"/>
    </row>
    <row r="90" spans="2:5">
      <c r="B90" s="155" t="s">
        <v>2369</v>
      </c>
      <c r="C90" s="155" t="s">
        <v>2374</v>
      </c>
      <c r="D90" s="155" t="s">
        <v>2372</v>
      </c>
      <c r="E90" s="1"/>
    </row>
    <row r="91" spans="2:5">
      <c r="B91" s="155" t="s">
        <v>2370</v>
      </c>
      <c r="C91" s="155" t="s">
        <v>2375</v>
      </c>
      <c r="D91" s="155" t="s">
        <v>2378</v>
      </c>
      <c r="E91" s="1"/>
    </row>
    <row r="92" spans="2:5">
      <c r="B92" s="155" t="s">
        <v>2371</v>
      </c>
      <c r="C92" s="155" t="s">
        <v>2376</v>
      </c>
      <c r="D92" s="154" t="s">
        <v>2379</v>
      </c>
      <c r="E92" s="1"/>
    </row>
    <row r="93" spans="2:5">
      <c r="B93" s="155" t="s">
        <v>2372</v>
      </c>
      <c r="C93" s="1"/>
      <c r="D93" s="152" t="s">
        <v>2380</v>
      </c>
      <c r="E93" s="1"/>
    </row>
    <row r="97" spans="2:2">
      <c r="B97"/>
    </row>
  </sheetData>
  <mergeCells count="1">
    <mergeCell ref="B10:C10"/>
  </mergeCells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A1805-E51A-4B63-AE78-7FBB6C6D5900}">
  <sheetPr>
    <tabColor theme="9" tint="0.39997558519241921"/>
  </sheetPr>
  <dimension ref="A3:B78"/>
  <sheetViews>
    <sheetView workbookViewId="0">
      <selection activeCell="D17" sqref="D17"/>
    </sheetView>
  </sheetViews>
  <sheetFormatPr defaultRowHeight="14.25"/>
  <cols>
    <col min="2" max="2" width="84.875" customWidth="1"/>
  </cols>
  <sheetData>
    <row r="3" spans="1:2" ht="17.25">
      <c r="A3">
        <v>1</v>
      </c>
      <c r="B3" s="163" t="s">
        <v>2453</v>
      </c>
    </row>
    <row r="4" spans="1:2">
      <c r="A4">
        <v>1</v>
      </c>
      <c r="B4" t="s">
        <v>2454</v>
      </c>
    </row>
    <row r="5" spans="1:2">
      <c r="A5">
        <v>1</v>
      </c>
      <c r="B5" t="s">
        <v>2455</v>
      </c>
    </row>
    <row r="6" spans="1:2">
      <c r="A6">
        <v>1</v>
      </c>
      <c r="B6" t="s">
        <v>2456</v>
      </c>
    </row>
    <row r="7" spans="1:2">
      <c r="A7">
        <v>1</v>
      </c>
      <c r="B7" s="152" t="s">
        <v>2457</v>
      </c>
    </row>
    <row r="8" spans="1:2">
      <c r="A8">
        <v>1</v>
      </c>
      <c r="B8" t="s">
        <v>292</v>
      </c>
    </row>
    <row r="9" spans="1:2">
      <c r="A9">
        <v>1</v>
      </c>
      <c r="B9" t="s">
        <v>2458</v>
      </c>
    </row>
    <row r="10" spans="1:2">
      <c r="A10">
        <v>1</v>
      </c>
      <c r="B10" t="s">
        <v>2459</v>
      </c>
    </row>
    <row r="11" spans="1:2">
      <c r="A11">
        <v>1</v>
      </c>
      <c r="B11" t="s">
        <v>2460</v>
      </c>
    </row>
    <row r="12" spans="1:2">
      <c r="A12">
        <v>1</v>
      </c>
      <c r="B12" t="s">
        <v>2461</v>
      </c>
    </row>
    <row r="13" spans="1:2">
      <c r="A13">
        <v>1</v>
      </c>
      <c r="B13" t="s">
        <v>2462</v>
      </c>
    </row>
    <row r="14" spans="1:2">
      <c r="A14">
        <v>1</v>
      </c>
      <c r="B14" t="s">
        <v>2463</v>
      </c>
    </row>
    <row r="15" spans="1:2">
      <c r="A15">
        <v>1</v>
      </c>
      <c r="B15" t="s">
        <v>2464</v>
      </c>
    </row>
    <row r="16" spans="1:2">
      <c r="A16">
        <v>1</v>
      </c>
      <c r="B16" t="s">
        <v>2465</v>
      </c>
    </row>
    <row r="17" spans="1:2" ht="17.25">
      <c r="A17">
        <v>1</v>
      </c>
      <c r="B17" s="113" t="s">
        <v>2466</v>
      </c>
    </row>
    <row r="18" spans="1:2">
      <c r="A18">
        <v>1</v>
      </c>
      <c r="B18" t="s">
        <v>2467</v>
      </c>
    </row>
    <row r="19" spans="1:2">
      <c r="A19">
        <v>1</v>
      </c>
      <c r="B19" s="152" t="s">
        <v>2468</v>
      </c>
    </row>
    <row r="20" spans="1:2">
      <c r="A20">
        <v>1</v>
      </c>
      <c r="B20" t="s">
        <v>2469</v>
      </c>
    </row>
    <row r="21" spans="1:2">
      <c r="A21">
        <v>1</v>
      </c>
      <c r="B21" t="s">
        <v>2470</v>
      </c>
    </row>
    <row r="22" spans="1:2">
      <c r="A22">
        <v>1</v>
      </c>
      <c r="B22" t="s">
        <v>1446</v>
      </c>
    </row>
    <row r="23" spans="1:2">
      <c r="A23">
        <v>1</v>
      </c>
      <c r="B23" t="s">
        <v>2471</v>
      </c>
    </row>
    <row r="24" spans="1:2">
      <c r="A24">
        <v>1</v>
      </c>
      <c r="B24" t="s">
        <v>2472</v>
      </c>
    </row>
    <row r="25" spans="1:2">
      <c r="A25">
        <v>1</v>
      </c>
      <c r="B25" t="s">
        <v>2473</v>
      </c>
    </row>
    <row r="26" spans="1:2">
      <c r="A26">
        <v>1</v>
      </c>
      <c r="B26" t="s">
        <v>2472</v>
      </c>
    </row>
    <row r="27" spans="1:2">
      <c r="A27">
        <v>1</v>
      </c>
      <c r="B27" t="s">
        <v>2474</v>
      </c>
    </row>
    <row r="28" spans="1:2">
      <c r="A28">
        <v>1</v>
      </c>
      <c r="B28" t="s">
        <v>2472</v>
      </c>
    </row>
    <row r="29" spans="1:2">
      <c r="A29">
        <v>1</v>
      </c>
      <c r="B29" t="s">
        <v>2475</v>
      </c>
    </row>
    <row r="30" spans="1:2">
      <c r="A30">
        <v>1</v>
      </c>
      <c r="B30" s="152" t="s">
        <v>2476</v>
      </c>
    </row>
    <row r="31" spans="1:2">
      <c r="A31">
        <v>1</v>
      </c>
      <c r="B31" t="s">
        <v>2477</v>
      </c>
    </row>
    <row r="32" spans="1:2">
      <c r="A32">
        <v>1</v>
      </c>
      <c r="B32" t="s">
        <v>2478</v>
      </c>
    </row>
    <row r="33" spans="1:2" ht="17.25">
      <c r="A33">
        <v>1</v>
      </c>
      <c r="B33" s="163" t="s">
        <v>2479</v>
      </c>
    </row>
    <row r="34" spans="1:2">
      <c r="A34">
        <v>1</v>
      </c>
      <c r="B34" t="s">
        <v>2480</v>
      </c>
    </row>
    <row r="35" spans="1:2">
      <c r="A35">
        <v>1</v>
      </c>
      <c r="B35" t="s">
        <v>2481</v>
      </c>
    </row>
    <row r="36" spans="1:2">
      <c r="A36">
        <v>1</v>
      </c>
      <c r="B36" s="152" t="s">
        <v>2482</v>
      </c>
    </row>
    <row r="37" spans="1:2">
      <c r="A37">
        <v>1</v>
      </c>
      <c r="B37" t="s">
        <v>292</v>
      </c>
    </row>
    <row r="38" spans="1:2">
      <c r="A38">
        <v>1</v>
      </c>
      <c r="B38" t="s">
        <v>2483</v>
      </c>
    </row>
    <row r="39" spans="1:2">
      <c r="A39">
        <v>1</v>
      </c>
      <c r="B39" t="s">
        <v>2484</v>
      </c>
    </row>
    <row r="40" spans="1:2">
      <c r="A40">
        <v>1</v>
      </c>
      <c r="B40" s="96" t="s">
        <v>2485</v>
      </c>
    </row>
    <row r="41" spans="1:2">
      <c r="A41">
        <v>1</v>
      </c>
      <c r="B41" t="s">
        <v>2486</v>
      </c>
    </row>
    <row r="42" spans="1:2">
      <c r="A42">
        <v>1</v>
      </c>
      <c r="B42" s="96" t="s">
        <v>2487</v>
      </c>
    </row>
    <row r="43" spans="1:2">
      <c r="A43">
        <v>1</v>
      </c>
      <c r="B43" t="s">
        <v>2488</v>
      </c>
    </row>
    <row r="44" spans="1:2">
      <c r="A44">
        <v>1</v>
      </c>
      <c r="B44" s="96" t="s">
        <v>2489</v>
      </c>
    </row>
    <row r="45" spans="1:2">
      <c r="A45">
        <v>1</v>
      </c>
      <c r="B45" t="s">
        <v>2490</v>
      </c>
    </row>
    <row r="46" spans="1:2">
      <c r="A46">
        <v>1</v>
      </c>
      <c r="B46" s="96" t="s">
        <v>2491</v>
      </c>
    </row>
    <row r="47" spans="1:2">
      <c r="A47">
        <v>1</v>
      </c>
      <c r="B47" t="s">
        <v>2492</v>
      </c>
    </row>
    <row r="48" spans="1:2">
      <c r="A48">
        <v>1</v>
      </c>
      <c r="B48" t="s">
        <v>2493</v>
      </c>
    </row>
    <row r="49" spans="1:2">
      <c r="A49">
        <v>1</v>
      </c>
      <c r="B49" t="s">
        <v>2494</v>
      </c>
    </row>
    <row r="50" spans="1:2" ht="17.25">
      <c r="A50">
        <v>1</v>
      </c>
      <c r="B50" s="163" t="s">
        <v>2495</v>
      </c>
    </row>
    <row r="51" spans="1:2">
      <c r="A51">
        <v>1</v>
      </c>
      <c r="B51" t="s">
        <v>2496</v>
      </c>
    </row>
    <row r="52" spans="1:2">
      <c r="A52">
        <v>1</v>
      </c>
      <c r="B52" t="s">
        <v>2497</v>
      </c>
    </row>
    <row r="53" spans="1:2">
      <c r="A53">
        <v>1</v>
      </c>
      <c r="B53" t="s">
        <v>2498</v>
      </c>
    </row>
    <row r="54" spans="1:2">
      <c r="A54">
        <v>1</v>
      </c>
      <c r="B54" s="84" t="s">
        <v>2499</v>
      </c>
    </row>
    <row r="55" spans="1:2">
      <c r="A55">
        <v>1</v>
      </c>
      <c r="B55" t="s">
        <v>2500</v>
      </c>
    </row>
    <row r="56" spans="1:2">
      <c r="A56">
        <v>1</v>
      </c>
      <c r="B56" s="96" t="s">
        <v>2501</v>
      </c>
    </row>
    <row r="57" spans="1:2">
      <c r="A57">
        <v>1</v>
      </c>
      <c r="B57" s="96" t="s">
        <v>2502</v>
      </c>
    </row>
    <row r="58" spans="1:2">
      <c r="A58">
        <v>1</v>
      </c>
      <c r="B58" s="96" t="s">
        <v>2503</v>
      </c>
    </row>
    <row r="59" spans="1:2">
      <c r="A59">
        <v>1</v>
      </c>
      <c r="B59" s="96" t="s">
        <v>2504</v>
      </c>
    </row>
    <row r="60" spans="1:2">
      <c r="A60">
        <v>1</v>
      </c>
      <c r="B60" s="96" t="s">
        <v>2505</v>
      </c>
    </row>
    <row r="61" spans="1:2">
      <c r="A61">
        <v>1</v>
      </c>
      <c r="B61" s="96" t="s">
        <v>2506</v>
      </c>
    </row>
    <row r="62" spans="1:2">
      <c r="A62">
        <v>1</v>
      </c>
      <c r="B62" t="s">
        <v>2507</v>
      </c>
    </row>
    <row r="63" spans="1:2">
      <c r="A63">
        <v>1</v>
      </c>
      <c r="B63" s="96" t="s">
        <v>2508</v>
      </c>
    </row>
    <row r="64" spans="1:2">
      <c r="A64">
        <v>1</v>
      </c>
      <c r="B64" t="s">
        <v>2509</v>
      </c>
    </row>
    <row r="65" spans="1:2">
      <c r="A65">
        <v>1</v>
      </c>
      <c r="B65" s="152" t="s">
        <v>2510</v>
      </c>
    </row>
    <row r="66" spans="1:2">
      <c r="A66">
        <v>1</v>
      </c>
      <c r="B66" t="s">
        <v>2511</v>
      </c>
    </row>
    <row r="67" spans="1:2" ht="17.25">
      <c r="A67">
        <v>1</v>
      </c>
      <c r="B67" s="163" t="s">
        <v>2512</v>
      </c>
    </row>
    <row r="68" spans="1:2">
      <c r="A68">
        <v>1</v>
      </c>
      <c r="B68" t="s">
        <v>2513</v>
      </c>
    </row>
    <row r="69" spans="1:2">
      <c r="A69">
        <v>1</v>
      </c>
      <c r="B69" t="s">
        <v>2514</v>
      </c>
    </row>
    <row r="70" spans="1:2">
      <c r="A70">
        <v>1</v>
      </c>
      <c r="B70" s="164" t="s">
        <v>2515</v>
      </c>
    </row>
    <row r="71" spans="1:2">
      <c r="A71">
        <v>1</v>
      </c>
      <c r="B71" s="164" t="s">
        <v>2516</v>
      </c>
    </row>
    <row r="72" spans="1:2">
      <c r="A72">
        <v>1</v>
      </c>
      <c r="B72" s="164" t="s">
        <v>2517</v>
      </c>
    </row>
    <row r="73" spans="1:2">
      <c r="A73">
        <v>1</v>
      </c>
      <c r="B73" s="164" t="s">
        <v>2518</v>
      </c>
    </row>
    <row r="74" spans="1:2">
      <c r="A74">
        <v>1</v>
      </c>
      <c r="B74" s="164" t="s">
        <v>2519</v>
      </c>
    </row>
    <row r="75" spans="1:2">
      <c r="A75">
        <v>1</v>
      </c>
      <c r="B75" t="s">
        <v>2520</v>
      </c>
    </row>
    <row r="76" spans="1:2">
      <c r="A76">
        <v>1</v>
      </c>
      <c r="B76" t="s">
        <v>2521</v>
      </c>
    </row>
    <row r="77" spans="1:2">
      <c r="A77">
        <v>1</v>
      </c>
      <c r="B77" t="s">
        <v>1414</v>
      </c>
    </row>
    <row r="78" spans="1:2">
      <c r="A78">
        <v>1</v>
      </c>
      <c r="B78" s="84" t="s">
        <v>2522</v>
      </c>
    </row>
  </sheetData>
  <autoFilter ref="A3:B78" xr:uid="{CCBA1805-E51A-4B63-AE78-7FBB6C6D5900}"/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692BD-D929-4AB3-877E-A1F02712ECBD}">
  <sheetPr>
    <tabColor rgb="FF92D050"/>
  </sheetPr>
  <dimension ref="B3:D18"/>
  <sheetViews>
    <sheetView workbookViewId="0">
      <selection activeCell="M30" sqref="M30"/>
    </sheetView>
  </sheetViews>
  <sheetFormatPr defaultRowHeight="14.25"/>
  <cols>
    <col min="3" max="3" width="14.125" customWidth="1"/>
  </cols>
  <sheetData>
    <row r="3" spans="2:4">
      <c r="B3" t="s">
        <v>2309</v>
      </c>
      <c r="C3" t="s">
        <v>1219</v>
      </c>
      <c r="D3" t="s">
        <v>2310</v>
      </c>
    </row>
    <row r="4" spans="2:4">
      <c r="B4" t="s">
        <v>2305</v>
      </c>
      <c r="C4" t="s">
        <v>2311</v>
      </c>
    </row>
    <row r="5" spans="2:4">
      <c r="B5" t="s">
        <v>2307</v>
      </c>
      <c r="C5" t="s">
        <v>2312</v>
      </c>
    </row>
    <row r="6" spans="2:4">
      <c r="B6" t="s">
        <v>2308</v>
      </c>
      <c r="C6" t="s">
        <v>1216</v>
      </c>
    </row>
    <row r="7" spans="2:4">
      <c r="B7" t="s">
        <v>2306</v>
      </c>
      <c r="C7" t="s">
        <v>1223</v>
      </c>
    </row>
    <row r="14" spans="2:4">
      <c r="B14" t="s">
        <v>2313</v>
      </c>
    </row>
    <row r="15" spans="2:4">
      <c r="B15" t="s">
        <v>2314</v>
      </c>
    </row>
    <row r="16" spans="2:4">
      <c r="B16" t="s">
        <v>2315</v>
      </c>
    </row>
    <row r="17" spans="2:2">
      <c r="B17" t="s">
        <v>2316</v>
      </c>
    </row>
    <row r="18" spans="2:2">
      <c r="B18" t="s">
        <v>2317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A80D8-B355-4E76-BF90-1A284C7D83EE}">
  <sheetPr>
    <tabColor theme="9" tint="0.39997558519241921"/>
  </sheetPr>
  <dimension ref="A1:P69"/>
  <sheetViews>
    <sheetView tabSelected="1" workbookViewId="0">
      <selection activeCell="E12" sqref="E12"/>
    </sheetView>
  </sheetViews>
  <sheetFormatPr defaultRowHeight="14.25"/>
  <cols>
    <col min="1" max="2" width="15.875" style="220" customWidth="1"/>
    <col min="3" max="6" width="25" style="220" customWidth="1"/>
    <col min="7" max="7" width="11.125" style="220" customWidth="1"/>
    <col min="8" max="8" width="19.625" style="220" customWidth="1"/>
    <col min="9" max="16384" width="9" style="220"/>
  </cols>
  <sheetData>
    <row r="1" spans="1:16" ht="42.75">
      <c r="A1" s="285" t="s">
        <v>2395</v>
      </c>
      <c r="B1" s="285"/>
      <c r="C1" s="285" t="s">
        <v>2396</v>
      </c>
      <c r="D1" s="285"/>
      <c r="G1" s="222"/>
      <c r="J1" s="222"/>
    </row>
    <row r="2" spans="1:16" ht="28.5">
      <c r="A2" s="220" t="s">
        <v>2899</v>
      </c>
      <c r="B2" s="222" t="s">
        <v>2933</v>
      </c>
      <c r="C2" s="220" t="s">
        <v>2934</v>
      </c>
      <c r="D2" s="220" t="s">
        <v>2937</v>
      </c>
      <c r="E2" s="220" t="s">
        <v>2938</v>
      </c>
      <c r="F2" s="222" t="s">
        <v>2904</v>
      </c>
      <c r="G2" s="222" t="s">
        <v>2935</v>
      </c>
      <c r="H2" s="222" t="s">
        <v>2896</v>
      </c>
      <c r="K2" s="285"/>
    </row>
    <row r="3" spans="1:16">
      <c r="A3" s="220" t="s">
        <v>2903</v>
      </c>
      <c r="B3" s="220" t="s">
        <v>2982</v>
      </c>
      <c r="C3" s="220" t="s">
        <v>2941</v>
      </c>
      <c r="D3" s="220" t="s">
        <v>2901</v>
      </c>
      <c r="F3" s="221"/>
      <c r="G3" s="222" t="s">
        <v>2943</v>
      </c>
      <c r="H3" s="222" t="s">
        <v>1045</v>
      </c>
      <c r="K3" s="285"/>
    </row>
    <row r="4" spans="1:16">
      <c r="A4" s="220" t="s">
        <v>2945</v>
      </c>
      <c r="G4" s="222" t="s">
        <v>2907</v>
      </c>
      <c r="H4" s="222" t="s">
        <v>1044</v>
      </c>
      <c r="K4" s="285"/>
    </row>
    <row r="5" spans="1:16">
      <c r="A5" s="222" t="s">
        <v>2944</v>
      </c>
      <c r="B5" s="220" t="s">
        <v>2955</v>
      </c>
      <c r="C5" s="220" t="s">
        <v>2939</v>
      </c>
      <c r="G5" s="222" t="s">
        <v>2908</v>
      </c>
      <c r="H5" s="222" t="s">
        <v>1046</v>
      </c>
      <c r="K5" s="285"/>
    </row>
    <row r="6" spans="1:16">
      <c r="A6" s="220" t="s">
        <v>2905</v>
      </c>
      <c r="B6" s="220" t="s">
        <v>2936</v>
      </c>
      <c r="G6" s="222" t="s">
        <v>2949</v>
      </c>
      <c r="H6" s="222" t="s">
        <v>1047</v>
      </c>
      <c r="K6" s="285"/>
    </row>
    <row r="7" spans="1:16">
      <c r="A7" s="220" t="s">
        <v>2947</v>
      </c>
      <c r="B7" s="220" t="s">
        <v>3014</v>
      </c>
      <c r="C7" s="220" t="s">
        <v>2958</v>
      </c>
      <c r="D7" s="220" t="s">
        <v>2959</v>
      </c>
      <c r="E7" s="220" t="s">
        <v>2960</v>
      </c>
      <c r="G7" s="222" t="s">
        <v>2952</v>
      </c>
      <c r="H7" s="222" t="s">
        <v>1048</v>
      </c>
      <c r="K7" s="285"/>
      <c r="L7" s="285"/>
      <c r="M7" s="285"/>
      <c r="N7" s="285"/>
      <c r="O7" s="285"/>
      <c r="P7" s="285"/>
    </row>
    <row r="8" spans="1:16">
      <c r="A8" s="220" t="s">
        <v>2965</v>
      </c>
      <c r="B8" s="220" t="s">
        <v>2957</v>
      </c>
      <c r="G8" s="222"/>
      <c r="H8" s="222" t="s">
        <v>1049</v>
      </c>
      <c r="K8" s="285"/>
      <c r="L8" s="285"/>
      <c r="M8" s="285"/>
      <c r="N8" s="285"/>
      <c r="O8" s="285"/>
      <c r="P8" s="285"/>
    </row>
    <row r="9" spans="1:16">
      <c r="A9" s="1" t="s">
        <v>2981</v>
      </c>
      <c r="B9" s="1"/>
      <c r="G9" s="222"/>
      <c r="H9" s="222" t="s">
        <v>1050</v>
      </c>
      <c r="K9" s="285"/>
      <c r="L9" s="285"/>
      <c r="M9" s="285"/>
      <c r="N9" s="285"/>
      <c r="O9" s="285"/>
      <c r="P9" s="285"/>
    </row>
    <row r="10" spans="1:16">
      <c r="A10" s="220" t="s">
        <v>2906</v>
      </c>
      <c r="B10" s="222" t="s">
        <v>2900</v>
      </c>
      <c r="C10" s="220" t="s">
        <v>2940</v>
      </c>
      <c r="D10" s="220" t="s">
        <v>2962</v>
      </c>
      <c r="H10" s="222" t="s">
        <v>1052</v>
      </c>
      <c r="K10" s="285"/>
      <c r="L10" s="285"/>
      <c r="M10" s="285"/>
      <c r="N10" s="285"/>
      <c r="O10" s="285"/>
      <c r="P10" s="285"/>
    </row>
    <row r="11" spans="1:16">
      <c r="A11" s="220" t="s">
        <v>2449</v>
      </c>
      <c r="C11" s="220" t="s">
        <v>2942</v>
      </c>
      <c r="H11" s="222"/>
      <c r="K11" s="285"/>
      <c r="L11" s="285"/>
      <c r="M11" s="285"/>
      <c r="N11" s="285"/>
      <c r="O11" s="285"/>
      <c r="P11" s="285"/>
    </row>
    <row r="12" spans="1:16">
      <c r="H12" s="222" t="s">
        <v>1051</v>
      </c>
      <c r="K12" s="285"/>
      <c r="L12" s="285"/>
      <c r="M12" s="285"/>
      <c r="N12" s="285"/>
      <c r="O12" s="285"/>
      <c r="P12" s="285"/>
    </row>
    <row r="13" spans="1:16">
      <c r="H13" s="222" t="s">
        <v>1043</v>
      </c>
      <c r="K13" s="285"/>
      <c r="L13" s="285"/>
      <c r="M13" s="285"/>
      <c r="N13" s="285"/>
      <c r="O13" s="285"/>
      <c r="P13" s="285"/>
    </row>
    <row r="14" spans="1:16">
      <c r="A14" s="220" t="s">
        <v>2980</v>
      </c>
    </row>
    <row r="15" spans="1:16">
      <c r="A15" s="220" t="s">
        <v>2448</v>
      </c>
      <c r="B15" s="220" t="s">
        <v>2902</v>
      </c>
      <c r="C15" s="220" t="s">
        <v>2946</v>
      </c>
    </row>
    <row r="16" spans="1:16">
      <c r="A16" s="222" t="s">
        <v>2898</v>
      </c>
      <c r="B16" s="222"/>
    </row>
    <row r="17" spans="1:3">
      <c r="A17" s="220" t="s">
        <v>2954</v>
      </c>
      <c r="C17" s="220" t="s">
        <v>2953</v>
      </c>
    </row>
    <row r="18" spans="1:3">
      <c r="A18" s="221" t="s">
        <v>2963</v>
      </c>
      <c r="B18" s="221"/>
      <c r="C18" s="221" t="s">
        <v>2964</v>
      </c>
    </row>
    <row r="19" spans="1:3">
      <c r="A19" s="286" t="s">
        <v>2979</v>
      </c>
      <c r="B19" s="286" t="s">
        <v>2978</v>
      </c>
      <c r="C19" s="285"/>
    </row>
    <row r="20" spans="1:3" ht="42.75">
      <c r="A20" s="220" t="s">
        <v>2983</v>
      </c>
      <c r="B20" s="286" t="s">
        <v>2984</v>
      </c>
      <c r="C20" s="286" t="s">
        <v>2985</v>
      </c>
    </row>
    <row r="21" spans="1:3">
      <c r="A21" s="220" t="s">
        <v>2950</v>
      </c>
      <c r="B21" s="220" t="s">
        <v>2977</v>
      </c>
      <c r="C21" s="220" t="s">
        <v>2951</v>
      </c>
    </row>
    <row r="43" spans="1:4">
      <c r="A43" s="286"/>
    </row>
    <row r="45" spans="1:4">
      <c r="A45"/>
      <c r="B45" s="223"/>
    </row>
    <row r="46" spans="1:4">
      <c r="D46" s="222"/>
    </row>
    <row r="50" spans="1:2">
      <c r="A50" s="285"/>
      <c r="B50" s="285"/>
    </row>
    <row r="51" spans="1:2">
      <c r="A51" s="285"/>
      <c r="B51" s="285"/>
    </row>
    <row r="52" spans="1:2">
      <c r="A52" s="285"/>
      <c r="B52" s="285"/>
    </row>
    <row r="53" spans="1:2">
      <c r="A53" s="285"/>
      <c r="B53" s="285"/>
    </row>
    <row r="54" spans="1:2">
      <c r="A54" s="285"/>
      <c r="B54" s="285"/>
    </row>
    <row r="55" spans="1:2">
      <c r="A55" s="285"/>
      <c r="B55" s="285"/>
    </row>
    <row r="56" spans="1:2">
      <c r="A56" s="285"/>
      <c r="B56" s="285"/>
    </row>
    <row r="59" spans="1:2">
      <c r="A59" s="223"/>
    </row>
    <row r="61" spans="1:2">
      <c r="A61" s="286"/>
    </row>
    <row r="62" spans="1:2">
      <c r="A62" s="286"/>
    </row>
    <row r="63" spans="1:2">
      <c r="A63" s="286"/>
    </row>
    <row r="64" spans="1:2">
      <c r="A64" s="286"/>
    </row>
    <row r="65" spans="1:1">
      <c r="A65" s="286"/>
    </row>
    <row r="66" spans="1:1">
      <c r="A66" s="286"/>
    </row>
    <row r="67" spans="1:1">
      <c r="A67" s="286"/>
    </row>
    <row r="68" spans="1:1">
      <c r="A68" s="286"/>
    </row>
    <row r="69" spans="1:1">
      <c r="A69" s="286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02D5F-0D4B-49C6-B29D-36A59CF7C681}">
  <dimension ref="B2:M9"/>
  <sheetViews>
    <sheetView workbookViewId="0">
      <selection activeCell="E14" sqref="E14"/>
    </sheetView>
  </sheetViews>
  <sheetFormatPr defaultRowHeight="14.25"/>
  <cols>
    <col min="2" max="2" width="13" bestFit="1" customWidth="1"/>
    <col min="5" max="5" width="10.625" customWidth="1"/>
    <col min="10" max="14" width="10.75" customWidth="1"/>
  </cols>
  <sheetData>
    <row r="2" spans="2:13">
      <c r="B2" t="s">
        <v>2994</v>
      </c>
      <c r="E2" t="s">
        <v>2995</v>
      </c>
      <c r="I2" t="s">
        <v>2993</v>
      </c>
    </row>
    <row r="3" spans="2:13" ht="42.75">
      <c r="B3" t="s">
        <v>2988</v>
      </c>
      <c r="E3" t="s">
        <v>2991</v>
      </c>
      <c r="I3" t="s">
        <v>2996</v>
      </c>
      <c r="J3" t="s">
        <v>3007</v>
      </c>
      <c r="K3" t="s">
        <v>1527</v>
      </c>
      <c r="L3" t="s">
        <v>1498</v>
      </c>
      <c r="M3" s="46" t="s">
        <v>3009</v>
      </c>
    </row>
    <row r="4" spans="2:13">
      <c r="B4" t="s">
        <v>2989</v>
      </c>
      <c r="E4" t="s">
        <v>2992</v>
      </c>
      <c r="I4" t="s">
        <v>2997</v>
      </c>
      <c r="J4" t="s">
        <v>3008</v>
      </c>
      <c r="K4" t="s">
        <v>3010</v>
      </c>
    </row>
    <row r="5" spans="2:13">
      <c r="B5" t="s">
        <v>2990</v>
      </c>
      <c r="I5" t="s">
        <v>3000</v>
      </c>
      <c r="J5" t="s">
        <v>2998</v>
      </c>
    </row>
    <row r="6" spans="2:13">
      <c r="B6" t="s">
        <v>2999</v>
      </c>
      <c r="I6" t="s">
        <v>3001</v>
      </c>
      <c r="J6" t="s">
        <v>3002</v>
      </c>
      <c r="K6" t="s">
        <v>3003</v>
      </c>
    </row>
    <row r="7" spans="2:13">
      <c r="I7" t="s">
        <v>3004</v>
      </c>
    </row>
    <row r="8" spans="2:13">
      <c r="I8" t="s">
        <v>3005</v>
      </c>
    </row>
    <row r="9" spans="2:13">
      <c r="I9" t="s">
        <v>3006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人生策略</vt:lpstr>
      <vt:lpstr>人生之山II</vt:lpstr>
      <vt:lpstr>2026</vt:lpstr>
      <vt:lpstr>知识体系</vt:lpstr>
      <vt:lpstr>考试表</vt:lpstr>
      <vt:lpstr>CPA</vt:lpstr>
      <vt:lpstr>法考</vt:lpstr>
      <vt:lpstr>财税法务实</vt:lpstr>
      <vt:lpstr>外语</vt:lpstr>
      <vt:lpstr>自媒体</vt:lpstr>
      <vt:lpstr>金融</vt:lpstr>
      <vt:lpstr>公</vt:lpstr>
      <vt:lpstr>理工</vt:lpstr>
      <vt:lpstr>科技</vt:lpstr>
      <vt:lpstr>AI</vt:lpstr>
      <vt:lpstr>健康精力</vt:lpstr>
      <vt:lpstr>前额叶</vt:lpstr>
      <vt:lpstr>家庭</vt:lpstr>
      <vt:lpstr>阅读影视</vt:lpstr>
      <vt:lpstr>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 Ren</dc:creator>
  <cp:lastModifiedBy>ht Ren</cp:lastModifiedBy>
  <dcterms:created xsi:type="dcterms:W3CDTF">2026-06-20T03:57:47Z</dcterms:created>
  <dcterms:modified xsi:type="dcterms:W3CDTF">2026-09-22T10:13:45Z</dcterms:modified>
</cp:coreProperties>
</file>